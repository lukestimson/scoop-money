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ving Expenses" sheetId="1" r:id="rId4"/>
    <sheet state="visible" name="All Transactions" sheetId="2" r:id="rId5"/>
    <sheet state="visible" name="Summary 2026" sheetId="3" r:id="rId6"/>
    <sheet state="visible" name="Capitol One Transactions" sheetId="4" r:id="rId7"/>
    <sheet state="visible" name="Venmo Transactions" sheetId="5" r:id="rId8"/>
    <sheet state="visible" name="Other Transactions" sheetId="6" r:id="rId9"/>
    <sheet state="visible" name="Expense Category Mapping" sheetId="7" r:id="rId10"/>
    <sheet state="visible" name="CA v FEDERAL Taxable Income" sheetId="8" r:id="rId11"/>
    <sheet state="visible" name="old - Summary" sheetId="9" r:id="rId12"/>
  </sheets>
  <definedNames/>
  <calcPr/>
</workbook>
</file>

<file path=xl/sharedStrings.xml><?xml version="1.0" encoding="utf-8"?>
<sst xmlns="http://schemas.openxmlformats.org/spreadsheetml/2006/main" count="11471" uniqueCount="404">
  <si>
    <t>Four-Step Budget Template</t>
  </si>
  <si>
    <t>Updated:</t>
  </si>
  <si>
    <t>Luke Stimson</t>
  </si>
  <si>
    <t xml:space="preserve">Based on current living at 1126 Vallejo st </t>
  </si>
  <si>
    <t>Bartending &amp; Business Building</t>
  </si>
  <si>
    <t>Modified taxable income to respect CA Standard deduction (CA taxes on more of my income)</t>
  </si>
  <si>
    <t xml:space="preserve">Auto Budgeting Flow Info: Created Budgeting/ Expenses flow: Cap one Transaction + Venmo Transaction + Other transactions auto format and populate All transactions and then these are summarized by month in the Summary 2026 sheet which groups all expenses and budget amounts and compares them. In the future I should be able to create a duplicate sheet for 2027 and just change the year cell to have everything work properly.  </t>
  </si>
  <si>
    <t>Single</t>
  </si>
  <si>
    <t>Income - taxes</t>
  </si>
  <si>
    <t>Quick View Calculations (Parental Help)</t>
  </si>
  <si>
    <t>This includes: paychecks, side jobs, anything that brings money into your bank account.</t>
  </si>
  <si>
    <t>Income</t>
  </si>
  <si>
    <t>Income (after tax)</t>
  </si>
  <si>
    <t>* Effective Rate = Average rate across all marginal brackets I fall into</t>
  </si>
  <si>
    <t>Annual</t>
  </si>
  <si>
    <t>Needs</t>
  </si>
  <si>
    <t>Income Source: Bartending</t>
  </si>
  <si>
    <t>5416 ( at $35/hr, 25hr weeks &amp; 48wk years)</t>
  </si>
  <si>
    <t>Wants</t>
  </si>
  <si>
    <t>Income Source: Part-time Freelance Photography</t>
  </si>
  <si>
    <t>Snappr and Corporate Event shoots estimated $2k per month</t>
  </si>
  <si>
    <t>Left Over</t>
  </si>
  <si>
    <t>Income Source: Photography Lessons</t>
  </si>
  <si>
    <t>(Assuming 1 per month at $75/ea)</t>
  </si>
  <si>
    <t>Left Over (w Gov Aid)</t>
  </si>
  <si>
    <t>Income Source: Baja Montecito?</t>
  </si>
  <si>
    <t>Savings (401k, etc)</t>
  </si>
  <si>
    <t>Gross Income</t>
  </si>
  <si>
    <t>6 Month Reserve (Needs + Wants)</t>
  </si>
  <si>
    <t>Total Monthly Budget</t>
  </si>
  <si>
    <t>401k/ IRA Contribution</t>
  </si>
  <si>
    <t>* Left Over includes savings</t>
  </si>
  <si>
    <t>Freelance 'Above-the-line' Deductions</t>
  </si>
  <si>
    <t xml:space="preserve"> self Employment income is taxed differently (so should really be in separate category) See tax Notes Below for Info on 'Above-the-line' Deductions</t>
  </si>
  <si>
    <t>Federal AGI</t>
  </si>
  <si>
    <t>(Gross Income - Above-the-Line Deductions -401k/IRA Contr.)</t>
  </si>
  <si>
    <t>Total Federal Deductibles</t>
  </si>
  <si>
    <t>Total CA Deductibles</t>
  </si>
  <si>
    <t>Federal Taxable Income</t>
  </si>
  <si>
    <r>
      <rPr>
        <rFont val="arial,sans,sans-serif"/>
        <sz val="11.0"/>
      </rPr>
      <t>Federal AGI – Federal Std Deduction (</t>
    </r>
    <r>
      <rPr>
        <rFont val="arial,sans,sans-serif"/>
        <b/>
        <sz val="11.0"/>
      </rPr>
      <t>$15,750</t>
    </r>
    <r>
      <rPr>
        <rFont val="arial,sans,sans-serif"/>
        <sz val="11.0"/>
      </rPr>
      <t xml:space="preserve">) </t>
    </r>
  </si>
  <si>
    <t>California Taxable Income</t>
  </si>
  <si>
    <r>
      <rPr>
        <rFont val="arial,sans,sans-serif"/>
        <sz val="11.0"/>
      </rPr>
      <t>Federal AGI – CA Std Deduction (</t>
    </r>
    <r>
      <rPr>
        <rFont val="arial,sans,sans-serif"/>
        <b/>
        <sz val="11.0"/>
      </rPr>
      <t>$5,706</t>
    </r>
    <r>
      <rPr>
        <rFont val="arial,sans,sans-serif"/>
        <sz val="11.0"/>
      </rPr>
      <t>)</t>
    </r>
  </si>
  <si>
    <t>Income/ Rent Note:</t>
  </si>
  <si>
    <t>Landlords like to see 3/4x Income/ Rent Ratio</t>
  </si>
  <si>
    <t>Federal Income Tax (Effective Rate)</t>
  </si>
  <si>
    <t>$65k gross income</t>
  </si>
  <si>
    <t>Monthly gross is about $5,417</t>
  </si>
  <si>
    <t>California State Tax (Effective Rate)</t>
  </si>
  <si>
    <t xml:space="preserve">3x rent: </t>
  </si>
  <si>
    <t>Social Security (6.2%)</t>
  </si>
  <si>
    <t>4x rent:</t>
  </si>
  <si>
    <t>Medicare (1.45%)</t>
  </si>
  <si>
    <t>TOTAL TAXES</t>
  </si>
  <si>
    <t>TOTAL AFTER TAXES</t>
  </si>
  <si>
    <t>Must-Have Expenses</t>
  </si>
  <si>
    <t xml:space="preserve">This includes: Rent, utilities, cell phone bills, anything that will incur late fees. Includes other essentials like groceries and automatic savings account deductions. Saving is a must! </t>
  </si>
  <si>
    <t>Notes:</t>
  </si>
  <si>
    <t>Rent or Mortgage</t>
  </si>
  <si>
    <t>lowest rent for SF 3 person app ~ $1.4k</t>
  </si>
  <si>
    <t>Rent</t>
  </si>
  <si>
    <t>Utilities</t>
  </si>
  <si>
    <t>Wifi: $25, Gas &amp; Electric: 30-60 (Dont pay water + garbage)</t>
  </si>
  <si>
    <t>Monthly cleaning</t>
  </si>
  <si>
    <t>$200 cleaning monthly</t>
  </si>
  <si>
    <t>Renters Insurance</t>
  </si>
  <si>
    <t>(Based on GPT estimate of $20-30/mo) ($300/yr) - Dont think we're paying this at Russian hill</t>
  </si>
  <si>
    <t>Housing Total: = $1462</t>
  </si>
  <si>
    <t>Food ($212/week)</t>
  </si>
  <si>
    <t>based off of dad's weekly + $150 - Adjusted to be more accurate 4/14/26</t>
  </si>
  <si>
    <t>Groceries</t>
  </si>
  <si>
    <t>Coffee/ Yerbs</t>
  </si>
  <si>
    <t>(coffee every other day at $6)</t>
  </si>
  <si>
    <t>Coffee</t>
  </si>
  <si>
    <t>Phone Bill</t>
  </si>
  <si>
    <t>($70 if I go individual, $55 if I stay on family plan)</t>
  </si>
  <si>
    <t>Healthcare</t>
  </si>
  <si>
    <t>Covered California Estimate on Bronze Plan</t>
  </si>
  <si>
    <t>Haircuts</t>
  </si>
  <si>
    <t>(Haircuts every 3months at $55)</t>
  </si>
  <si>
    <t>Other Services</t>
  </si>
  <si>
    <t>Cleaning Supplies, Cooking Supplies, household stuff</t>
  </si>
  <si>
    <t>(Estimated $100/yr)</t>
  </si>
  <si>
    <t>Shopping</t>
  </si>
  <si>
    <t>Toiletries, Deodorant, tooth paste, razors, shaving creme, moisterizer</t>
  </si>
  <si>
    <t>(Estimated $70/yr)</t>
  </si>
  <si>
    <t>Transportation</t>
  </si>
  <si>
    <t>(Estimated $25/mo)</t>
  </si>
  <si>
    <t>Subscriptions</t>
  </si>
  <si>
    <t xml:space="preserve">Spotify Subscription  </t>
  </si>
  <si>
    <t>($144/yr)</t>
  </si>
  <si>
    <t xml:space="preserve">Netflix subscription </t>
  </si>
  <si>
    <t>($84/yr)</t>
  </si>
  <si>
    <t>Credit Card's (Venture X) (Annual: 350)</t>
  </si>
  <si>
    <t>($350/yr)</t>
  </si>
  <si>
    <t>Amazon prime</t>
  </si>
  <si>
    <t>($144/yr) (Canceled Summer of 2025)</t>
  </si>
  <si>
    <t>Phootography Website</t>
  </si>
  <si>
    <t>($348/yr) (Downgraded plan 2/3/25 from $442/yr)</t>
  </si>
  <si>
    <t>Photography Insurance (Full Frame)</t>
  </si>
  <si>
    <t>$271/yr) (*** Charged $366 in 2025)</t>
  </si>
  <si>
    <t>Insurance</t>
  </si>
  <si>
    <r>
      <rPr>
        <color rgb="FF1155CC"/>
        <u/>
      </rPr>
      <t>Stimsonphoto.com</t>
    </r>
    <r>
      <rPr/>
      <t xml:space="preserve"> domain ($31/yr)</t>
    </r>
  </si>
  <si>
    <t>($26/yr) (was 52 now 62.50 for 2 years as of may 2026)</t>
  </si>
  <si>
    <t xml:space="preserve">Adobe Subscription </t>
  </si>
  <si>
    <t>Now $480/yr (before August 2025 it was $240/yr)</t>
  </si>
  <si>
    <t>Storage (G photos: $10 + G photos: $2 + icloud: $3)</t>
  </si>
  <si>
    <t>($180/yr)</t>
  </si>
  <si>
    <t>Apple Care+ 14in Macbook pro</t>
  </si>
  <si>
    <t>($100 per year)</t>
  </si>
  <si>
    <t>DJI Care Refresh - MA2PRO</t>
  </si>
  <si>
    <t>($170 per 2 years)</t>
  </si>
  <si>
    <t>Canceled: Headspace (Was $6), Audible (Was $16)</t>
  </si>
  <si>
    <t>Subscriptions Total</t>
  </si>
  <si>
    <t>TOTAL (Needs)</t>
  </si>
  <si>
    <t>TOTAL (Needs, Parental Help)</t>
  </si>
  <si>
    <t>Nice-to-Have Expenses</t>
  </si>
  <si>
    <t>This includes: things that you KNOW you spend money on every month like going out to eat.This does not include: one-off purchases (like a TV), major shopping trips, major travel (unless you take frequent weekend trips).</t>
  </si>
  <si>
    <t>Going out (Food)</t>
  </si>
  <si>
    <t>(Go out to eat 5x per week at $16/meal</t>
  </si>
  <si>
    <t>Dining</t>
  </si>
  <si>
    <t xml:space="preserve">Going out (Drinks) </t>
  </si>
  <si>
    <t>($35 every week) - reduced to $100 4/14/26</t>
  </si>
  <si>
    <t>Bar/ Alcohol</t>
  </si>
  <si>
    <t>Travel</t>
  </si>
  <si>
    <t>Spend 2k on travel annually? (- $300 travel credit)</t>
  </si>
  <si>
    <t>New gadgets/ Camera gear</t>
  </si>
  <si>
    <t>$1k a year on new gear?</t>
  </si>
  <si>
    <t>Business Expenses</t>
  </si>
  <si>
    <t>Film Photography (Film+ Developing+new gear)</t>
  </si>
  <si>
    <t>220 Film Photos personal use (Jan-May 2024) -&gt; $1 per image = 660 film images per year -&gt; $660 per year ($350/year on new gear) (reduced by 50%)</t>
  </si>
  <si>
    <t>Zyns</t>
  </si>
  <si>
    <t>2 packs per month</t>
  </si>
  <si>
    <t>New Clothing</t>
  </si>
  <si>
    <t>(Estimated $275/yr)</t>
  </si>
  <si>
    <t>Weekly Movies (Tuesday Deals)</t>
  </si>
  <si>
    <t>($7.5/week)</t>
  </si>
  <si>
    <t>Entertainment</t>
  </si>
  <si>
    <t>Concerts</t>
  </si>
  <si>
    <t>(6 concerts a year at $35 average ticket price)</t>
  </si>
  <si>
    <t>AI Fees</t>
  </si>
  <si>
    <t>Miscillaneous purchases</t>
  </si>
  <si>
    <t>Misc</t>
  </si>
  <si>
    <t>TOTAL (Wants)</t>
  </si>
  <si>
    <t>TOTAL (Needs + Wants)</t>
  </si>
  <si>
    <t>Parental &amp; Gov Help (-$)</t>
  </si>
  <si>
    <t>Spotify</t>
  </si>
  <si>
    <t>Netflix</t>
  </si>
  <si>
    <t>Benefits Cal</t>
  </si>
  <si>
    <t>EBT Snap Food Plan (as of Jan 2026)</t>
  </si>
  <si>
    <t>(Will go down in 2026 when I declare my new income)</t>
  </si>
  <si>
    <t>Medical (free as of Jan 2026)</t>
  </si>
  <si>
    <t>Total Parental Savings</t>
  </si>
  <si>
    <t>Total Parental + Gov Savings</t>
  </si>
  <si>
    <t>TOTAL (Needs + Wants, Parental Help)</t>
  </si>
  <si>
    <t>Step 4: Allowance</t>
  </si>
  <si>
    <t xml:space="preserve">Subtract your total expenses from your income to get your allowance. This is the money left-over each month for you to spend as you'd like - shopping, weekend trips, etc. 
For bigger purchases, you may want to start a separate savings account and add that deduction to your "must have" column. 
To get a weekend allowance, divide this number by four. If you're really serious, take the "weekend budget" amount out in cash to monitor your spending even more closely. </t>
  </si>
  <si>
    <t>Total Extra</t>
  </si>
  <si>
    <t>Total Extra (w Gov Aid)</t>
  </si>
  <si>
    <t>Medical Info</t>
  </si>
  <si>
    <t>(Medical via BenefitsCal)</t>
  </si>
  <si>
    <t>Federal Poverty Level (FPL) ~ Determines Eligibility</t>
  </si>
  <si>
    <t xml:space="preserve">For Full plan eligibility (currently on): </t>
  </si>
  <si>
    <r>
      <rPr/>
      <t xml:space="preserve">Income &lt; 138 % FPL = </t>
    </r>
    <r>
      <rPr>
        <b/>
      </rPr>
      <t>$21,597/yr</t>
    </r>
    <r>
      <rPr/>
      <t xml:space="preserve">
</t>
    </r>
  </si>
  <si>
    <t>For Covered California partially subsidized:</t>
  </si>
  <si>
    <r>
      <rPr/>
      <t xml:space="preserve">Income &lt; 400 % FPL =  </t>
    </r>
    <r>
      <rPr>
        <b/>
      </rPr>
      <t>$62,600/yr</t>
    </r>
  </si>
  <si>
    <t>Medi‑Cal and Covered California eligibility use MAGI (Modified Adjusted Gross Income), which is before taxes, but after certain adjustments, not your take‑home pay</t>
  </si>
  <si>
    <t>Budget Amount</t>
  </si>
  <si>
    <t/>
  </si>
  <si>
    <t xml:space="preserve">Year: </t>
  </si>
  <si>
    <t>Total</t>
  </si>
  <si>
    <t>Category</t>
  </si>
  <si>
    <t>Budget</t>
  </si>
  <si>
    <t>Jan Spend</t>
  </si>
  <si>
    <t>Jan Diff</t>
  </si>
  <si>
    <t>Feb Spend</t>
  </si>
  <si>
    <t>Feb Diff</t>
  </si>
  <si>
    <t>Mar Spend</t>
  </si>
  <si>
    <t>Mar Diff</t>
  </si>
  <si>
    <t>April Spend</t>
  </si>
  <si>
    <t>April Diff</t>
  </si>
  <si>
    <t>May Spend</t>
  </si>
  <si>
    <t>May Diff</t>
  </si>
  <si>
    <t>June Spend</t>
  </si>
  <si>
    <t>June Diff</t>
  </si>
  <si>
    <t>July Spend</t>
  </si>
  <si>
    <t>July Diff</t>
  </si>
  <si>
    <t>Aug Spend</t>
  </si>
  <si>
    <t>Aug Diff</t>
  </si>
  <si>
    <t>Sep Spend</t>
  </si>
  <si>
    <t>Sep Diff</t>
  </si>
  <si>
    <t>Oct Spend</t>
  </si>
  <si>
    <t>Oct Diff</t>
  </si>
  <si>
    <t>Nov Spend</t>
  </si>
  <si>
    <t>Nov Diff</t>
  </si>
  <si>
    <t>Dec Spend</t>
  </si>
  <si>
    <t>Dec Diff</t>
  </si>
  <si>
    <t>Transaction Date</t>
  </si>
  <si>
    <t>Posted Date</t>
  </si>
  <si>
    <t>Card No.</t>
  </si>
  <si>
    <t>Description</t>
  </si>
  <si>
    <t>Debit</t>
  </si>
  <si>
    <t>Budgeting Category</t>
  </si>
  <si>
    <t>Instructions: Statements &amp; Documents -&gt; Download Transactions -&gt; CSV -&gt; Open in Numbers &amp; Copy -&gt; Delete 'payments' rows -&gt; drag down 'Budgeting Category' column</t>
  </si>
  <si>
    <t>TST*SIGHTGLASS COFFEE -</t>
  </si>
  <si>
    <t>IKEA SAN FRAN</t>
  </si>
  <si>
    <t>Merchandise</t>
  </si>
  <si>
    <t>CLIPPER TRANSIT FARE</t>
  </si>
  <si>
    <t>Other Travel</t>
  </si>
  <si>
    <t>Capitol One Categories to map/ change</t>
  </si>
  <si>
    <t>SPIN* PENDING.BIRD.CO</t>
  </si>
  <si>
    <t>Google One</t>
  </si>
  <si>
    <t>Change to 'Subscriptions'</t>
  </si>
  <si>
    <t>THUMBTACK 9443567618</t>
  </si>
  <si>
    <t>Professional Services</t>
  </si>
  <si>
    <t>Payment/Credit</t>
  </si>
  <si>
    <t>Delete Row</t>
  </si>
  <si>
    <t>CAMPUS</t>
  </si>
  <si>
    <t>FANDANGO</t>
  </si>
  <si>
    <t>Change to 'Entertainment'</t>
  </si>
  <si>
    <t>TRUST THE UNIVERSE</t>
  </si>
  <si>
    <t>TRADER JOES</t>
  </si>
  <si>
    <t>Change to 'Grocery'</t>
  </si>
  <si>
    <t>PAYPAL *UBER</t>
  </si>
  <si>
    <t>POLK STREET MARKET</t>
  </si>
  <si>
    <t>Change to 'Dining'</t>
  </si>
  <si>
    <t>MR LIQUOR NORTH POINT</t>
  </si>
  <si>
    <t>Adobe Inc</t>
  </si>
  <si>
    <t>TESLA, INC.</t>
  </si>
  <si>
    <t>WALGREENS #5599</t>
  </si>
  <si>
    <t>Health Care</t>
  </si>
  <si>
    <t>SQ *CAFE #27255 UNION SQU</t>
  </si>
  <si>
    <t>BI-RITE MARKET</t>
  </si>
  <si>
    <t>COLE HARDWARE</t>
  </si>
  <si>
    <t>SQ *PHILZ COFFEE</t>
  </si>
  <si>
    <t>TST*HAYES VALLEY BAKEWOR</t>
  </si>
  <si>
    <t>HOSTINGER* HOSTINGER.C</t>
  </si>
  <si>
    <t>Internet</t>
  </si>
  <si>
    <t>AMAZON MKTPL*BD8E23Z50</t>
  </si>
  <si>
    <t>SQ *SAINT FRANK COFFEE</t>
  </si>
  <si>
    <t>BAYWHEE*1 RIDE</t>
  </si>
  <si>
    <t>LEBEAU NOB HILL MARKET</t>
  </si>
  <si>
    <t>AMAZON MKTPL*BP5GQ5UA0</t>
  </si>
  <si>
    <t>AMAZON PRIME*9N4U39UX3</t>
  </si>
  <si>
    <t>USPS CHANGE OF ADDRESS</t>
  </si>
  <si>
    <t>TARGET 00027664</t>
  </si>
  <si>
    <r>
      <rPr>
        <rFont val="Helvetica Neue"/>
        <color rgb="FF1155CC"/>
        <u/>
      </rPr>
      <t>APPLE.COM/BILL</t>
    </r>
  </si>
  <si>
    <t>TST* SUPER DUPER BURGERS</t>
  </si>
  <si>
    <t>LIME*RIDE 4G6N</t>
  </si>
  <si>
    <t>Grocery</t>
  </si>
  <si>
    <t>SEETICKET* HIPPIE SA</t>
  </si>
  <si>
    <t>SHELL OIL 57444215909</t>
  </si>
  <si>
    <t>Gas/Automotive</t>
  </si>
  <si>
    <t>ENTERPRISE RENT-A-CAR</t>
  </si>
  <si>
    <t>Car Rental</t>
  </si>
  <si>
    <t>THE HOME DEPOT #1092</t>
  </si>
  <si>
    <t>SAFEWAY #3031</t>
  </si>
  <si>
    <t>COAST VILLAGE FUEL DEPOT</t>
  </si>
  <si>
    <t>APCO GASOLINE</t>
  </si>
  <si>
    <t>FULL FRAME INSURANCE</t>
  </si>
  <si>
    <t>SQ *CONSIDERED COFFEE</t>
  </si>
  <si>
    <r>
      <rPr>
        <rFont val="Helvetica Neue"/>
        <color rgb="FF1155CC"/>
        <u/>
      </rPr>
      <t>APPLE.COM/BILL</t>
    </r>
  </si>
  <si>
    <t>TST*SUSHI TERI - SB</t>
  </si>
  <si>
    <t>EBAY O*02-14328-76669</t>
  </si>
  <si>
    <t>SQ *HANDLEBAR CAFE INC.</t>
  </si>
  <si>
    <t>SFMTA CIT PYMNT WEB</t>
  </si>
  <si>
    <t>Parking Ticket</t>
  </si>
  <si>
    <t>REPLICATE</t>
  </si>
  <si>
    <t>COSTCO WHSE #0474</t>
  </si>
  <si>
    <t>SQ *ANOTHER CAFE</t>
  </si>
  <si>
    <r>
      <rPr>
        <rFont val="Helvetica Neue"/>
        <color rgb="FF1155CC"/>
        <u/>
      </rPr>
      <t>APPLE.COM/BILL</t>
    </r>
  </si>
  <si>
    <t>CLIPPER MOBILE</t>
  </si>
  <si>
    <t>TST*HARAZ COFFEE- FRANKL</t>
  </si>
  <si>
    <t>NOVA PRO</t>
  </si>
  <si>
    <t>FANDANGO *</t>
  </si>
  <si>
    <t>NICKS CORNER LIQUORS</t>
  </si>
  <si>
    <t>J &amp; H GROCERY</t>
  </si>
  <si>
    <t>TRADER JOE S #200</t>
  </si>
  <si>
    <t>TST*CHEMINE</t>
  </si>
  <si>
    <t>eBay O*05-14516-53341</t>
  </si>
  <si>
    <r>
      <rPr>
        <rFont val="Helvetica Neue"/>
        <color rgb="FF1155CC"/>
        <u/>
      </rPr>
      <t>APPLE.COM/BILL</t>
    </r>
  </si>
  <si>
    <t>APPLE CINEMAS VAN NESS</t>
  </si>
  <si>
    <t>SQ *MOTORING COFFEE SF</t>
  </si>
  <si>
    <t>STATERBROS102</t>
  </si>
  <si>
    <t>MAMMOTH MOUNTAINEERING</t>
  </si>
  <si>
    <t>MCDONALD'S F22694</t>
  </si>
  <si>
    <t>ERICK SCHAT'S BAKERY</t>
  </si>
  <si>
    <t>FSP*MOUNTAIN RAMBLER BREW</t>
  </si>
  <si>
    <t>THE SHOPPE AT KETTLEMAN</t>
  </si>
  <si>
    <t>SQ *COPPER TOP BBQ</t>
  </si>
  <si>
    <t>REI #143 DUBLIN</t>
  </si>
  <si>
    <t>SQ *FLYWHEEL COFFEE ROAST</t>
  </si>
  <si>
    <t>COLE HARDWARE-VALLEJO ST</t>
  </si>
  <si>
    <t>USPS PO 0568060042</t>
  </si>
  <si>
    <t>SQ *JOYRIDE PIZZA, PIER 1</t>
  </si>
  <si>
    <t>WAYMO</t>
  </si>
  <si>
    <t>Too Good To Go Inc.</t>
  </si>
  <si>
    <t>IKEA SAN FRAN REST</t>
  </si>
  <si>
    <t>INTUIT *TURBOTAX</t>
  </si>
  <si>
    <t>Datetime</t>
  </si>
  <si>
    <t>Type</t>
  </si>
  <si>
    <t>Status</t>
  </si>
  <si>
    <t>Note</t>
  </si>
  <si>
    <t>From</t>
  </si>
  <si>
    <t>To</t>
  </si>
  <si>
    <t>Amount (total)</t>
  </si>
  <si>
    <t>Budget Category</t>
  </si>
  <si>
    <t xml:space="preserve">Instructions: Statements -&gt; Month -&gt; CSV-&gt; Open in Numbers &amp; Copy -&gt; Manually add budget category -&gt; Delete sold items </t>
  </si>
  <si>
    <t>Null</t>
  </si>
  <si>
    <t>Payment</t>
  </si>
  <si>
    <t>Complete</t>
  </si>
  <si>
    <t>Painting!</t>
  </si>
  <si>
    <t>georgia bracchi</t>
  </si>
  <si>
    <t>Shelves</t>
  </si>
  <si>
    <t>Victoria Delgado</t>
  </si>
  <si>
    <t>Chairs</t>
  </si>
  <si>
    <t>Will Boudreau</t>
  </si>
  <si>
    <t>Charge</t>
  </si>
  <si>
    <t>🪩</t>
  </si>
  <si>
    <t>Kylan O'Connor</t>
  </si>
  <si>
    <t>Notebook + candle + pyrex</t>
  </si>
  <si>
    <t>Target Haul</t>
  </si>
  <si>
    <t>Eric Manzo</t>
  </si>
  <si>
    <t>Toallas de papel</t>
  </si>
  <si>
    <t>Target</t>
  </si>
  <si>
    <t>Rack</t>
  </si>
  <si>
    <t>Megan Guldan</t>
  </si>
  <si>
    <t>Bier</t>
  </si>
  <si>
    <t>Christopher Civilikas</t>
  </si>
  <si>
    <t>Grubby chicken</t>
  </si>
  <si>
    <t>April 🏠</t>
  </si>
  <si>
    <t>Eero</t>
  </si>
  <si>
    <t>Sean Yu</t>
  </si>
  <si>
    <t>Olympic Rugby</t>
  </si>
  <si>
    <t>Nathan Williams</t>
  </si>
  <si>
    <t>Photo box 📸🤌🏼</t>
  </si>
  <si>
    <t>Food</t>
  </si>
  <si>
    <t>Burger</t>
  </si>
  <si>
    <t>Pizza pizza</t>
  </si>
  <si>
    <t>60+34 WiFi mesh</t>
  </si>
  <si>
    <t>William Ngo</t>
  </si>
  <si>
    <t>Last Plant</t>
  </si>
  <si>
    <t>Pau Acosta</t>
  </si>
  <si>
    <t>Uber and sando</t>
  </si>
  <si>
    <t>Yoav Levanoni</t>
  </si>
  <si>
    <t>Movie</t>
  </si>
  <si>
    <t>🍪👨‍🍳🍪👩‍🍳🍪🧑‍🍳</t>
  </si>
  <si>
    <t>🍀</t>
  </si>
  <si>
    <t>Heather McFarlane</t>
  </si>
  <si>
    <t>Board</t>
  </si>
  <si>
    <t>Will Hesla-seymour</t>
  </si>
  <si>
    <t>Costco personal grubs (74-8 for Flautas!)</t>
  </si>
  <si>
    <t>Costco Communal - housewarming (150/4)</t>
  </si>
  <si>
    <t>Half of chipotle chicken 🐔</t>
  </si>
  <si>
    <t>MJ Movie!</t>
  </si>
  <si>
    <t>Amount</t>
  </si>
  <si>
    <t>Source</t>
  </si>
  <si>
    <t>Venmo</t>
  </si>
  <si>
    <t>EBT</t>
  </si>
  <si>
    <t>Capitol One Category</t>
  </si>
  <si>
    <t>CS vs Federal Taxable Income</t>
  </si>
  <si>
    <t>Step</t>
  </si>
  <si>
    <t>Key Value</t>
  </si>
  <si>
    <t>How It's Used</t>
  </si>
  <si>
    <t xml:space="preserve">NEED TO ADD TO TAXES </t>
  </si>
  <si>
    <t>1</t>
  </si>
  <si>
    <t>Total Gross Income</t>
  </si>
  <si>
    <t>W-2 wages + Net freelance profit (Schedule C) + other income</t>
  </si>
  <si>
    <t>Starting point for both returns</t>
  </si>
  <si>
    <t>* Self-Employment Tax Note: Freelance income incurs self-employment tax (~15.3% on net profit). You get a deduction for half of this tax on your federal return only, which lowers your federal AGI.</t>
  </si>
  <si>
    <t>2</t>
  </si>
  <si>
    <t>Federal Above-the-Line Adjustments</t>
  </si>
  <si>
    <t>Half self-employment tax, self-employed health insurance, etc.</t>
  </si>
  <si>
    <t>Subtract from gross income</t>
  </si>
  <si>
    <t>Add to Sheets: New row "Half SE Tax Deduction (Federal only)" under "Freelance 'Above-the-line' Deductions". Subtract it for Federal AGI only — do not subtract for California Taxable Income. (With your small freelance earnings, this will be minor, likely &lt;$200.)</t>
  </si>
  <si>
    <t>3</t>
  </si>
  <si>
    <r>
      <rPr>
        <rFont val="arial,sans,sans-serif"/>
        <sz val="11.0"/>
      </rPr>
      <t>Federal Adjusted Gross Income (</t>
    </r>
    <r>
      <rPr>
        <rFont val="arial,sans,sans-serif"/>
        <b/>
        <sz val="11.0"/>
      </rPr>
      <t>AGI</t>
    </r>
    <r>
      <rPr>
        <rFont val="arial,sans,sans-serif"/>
        <sz val="11.0"/>
      </rPr>
      <t>)</t>
    </r>
  </si>
  <si>
    <t>Line 11b on federal Form 1040</t>
  </si>
  <si>
    <t>Base for federal taxable income; also starting point for California</t>
  </si>
  <si>
    <t>4</t>
  </si>
  <si>
    <t>Federal Standard Deduction (or Itemized)</t>
  </si>
  <si>
    <t>$15,750 (single, 2025)</t>
  </si>
  <si>
    <t>Subtract from Federal AGI → Federal Taxable Income</t>
  </si>
  <si>
    <t>5</t>
  </si>
  <si>
    <t>California Adjustments (Schedule CA Part I)</t>
  </si>
  <si>
    <t>Additions or subtractions for items where CA differs from federal (e.g., certain income exclusions, deductions not allowed in CA)</t>
  </si>
  <si>
    <t>Applied to Federal AGI</t>
  </si>
  <si>
    <t>6</t>
  </si>
  <si>
    <t>California AGI</t>
  </si>
  <si>
    <t>Federal AGI + CA additions – CA subtractions (from Schedule CA)</t>
  </si>
  <si>
    <t>Base for California return (entered on Form 540 line 13, then adjusted)</t>
  </si>
  <si>
    <t>7</t>
  </si>
  <si>
    <t>California Standard Deduction (or Itemized)</t>
  </si>
  <si>
    <t>$5,706 (single, 2025)</t>
  </si>
  <si>
    <t>Subtract from California AGI → California Taxable Income</t>
  </si>
  <si>
    <t>8</t>
  </si>
  <si>
    <t>Final Tax Calculation</t>
  </si>
  <si>
    <t>-</t>
  </si>
  <si>
    <t>Federal tax on Federal Taxable Income California tax on California Taxable Income</t>
  </si>
  <si>
    <t xml:space="preserve">Mar Spent </t>
  </si>
  <si>
    <t>Apr Spent</t>
  </si>
  <si>
    <t xml:space="preserve">May Spent </t>
  </si>
  <si>
    <t>June Spent</t>
  </si>
  <si>
    <t>Adding Color Formatting</t>
  </si>
  <si>
    <t>Select Data Range -&gt; Format -&gt; Conditional Formatting</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</si>
</sst>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mmm d yyyy"/>
    <numFmt numFmtId="165" formatCode="mmmm d yyyy"/>
    <numFmt numFmtId="166" formatCode="&quot;$&quot;#,##0"/>
    <numFmt numFmtId="167" formatCode="$#,##0"/>
    <numFmt numFmtId="168" formatCode="&quot;$&quot;#,##0.00"/>
    <numFmt numFmtId="169" formatCode="m/d/yyyy"/>
    <numFmt numFmtId="170" formatCode="yyyy-mm-dd"/>
    <numFmt numFmtId="171" formatCode="yyyy-mm-dd h:mm:ss"/>
    <numFmt numFmtId="172" formatCode="m/d/yy"/>
  </numFmts>
  <fonts count="64">
    <font>
      <sz val="10.0"/>
      <color rgb="FF000000"/>
      <name val="Arial"/>
    </font>
    <font>
      <b/>
      <sz val="14.0"/>
    </font>
    <font>
      <b/>
      <sz val="12.0"/>
    </font>
    <font>
      <sz val="11.0"/>
      <name val="Arial"/>
    </font>
    <font/>
    <font>
      <b/>
      <sz val="11.0"/>
      <color rgb="FF000000"/>
      <name val="Arial"/>
    </font>
    <font>
      <sz val="11.0"/>
      <color rgb="FF000000"/>
      <name val="Arial"/>
    </font>
    <font>
      <i/>
      <sz val="10.0"/>
    </font>
    <font>
      <sz val="10.0"/>
      <color rgb="FF000000"/>
    </font>
    <font>
      <sz val="10.0"/>
      <color rgb="FFFF0000"/>
    </font>
    <font>
      <color rgb="FF000000"/>
    </font>
    <font>
      <sz val="10.0"/>
    </font>
    <font>
      <b/>
      <i/>
      <sz val="10.0"/>
    </font>
    <font>
      <b/>
      <sz val="11.0"/>
      <color rgb="FFFFFFFF"/>
    </font>
    <font>
      <b/>
      <i/>
      <sz val="10.0"/>
      <color rgb="FF000000"/>
    </font>
    <font>
      <i/>
      <sz val="10.0"/>
      <color rgb="FF000000"/>
    </font>
    <font>
      <b/>
      <sz val="12.0"/>
      <color rgb="FFFFFFFF"/>
    </font>
    <font>
      <b/>
      <sz val="12.0"/>
      <color rgb="FFFFFFFF"/>
      <name val="Arial"/>
    </font>
    <font>
      <b/>
      <sz val="12.0"/>
      <name val="Arial"/>
    </font>
    <font>
      <b/>
      <sz val="10.0"/>
    </font>
    <font>
      <b/>
      <sz val="11.0"/>
    </font>
    <font>
      <b/>
    </font>
    <font>
      <sz val="12.0"/>
      <name val="Arial"/>
    </font>
    <font>
      <b/>
      <sz val="11.0"/>
      <color rgb="FFFFFFFF"/>
      <name val="Arial"/>
    </font>
    <font>
      <b/>
      <sz val="12.0"/>
      <color rgb="FF000000"/>
      <name val="Arial"/>
    </font>
    <font>
      <b/>
      <name val="Arial"/>
    </font>
    <font>
      <b/>
      <sz val="11.0"/>
      <name val="Arial"/>
    </font>
    <font>
      <name val="Arial"/>
    </font>
    <font>
      <sz val="11.0"/>
    </font>
    <font>
      <b/>
      <sz val="10.0"/>
      <name val="Arial"/>
    </font>
    <font>
      <sz val="12.0"/>
    </font>
    <font>
      <b/>
      <sz val="10.0"/>
      <color rgb="FFFFFFFF"/>
    </font>
    <font>
      <b/>
      <color rgb="FFFFFFFF"/>
    </font>
    <font>
      <b/>
      <sz val="12.0"/>
      <color rgb="FF000000"/>
    </font>
    <font>
      <b/>
      <sz val="13.0"/>
      <color rgb="FF000000"/>
    </font>
    <font>
      <b/>
      <sz val="13.0"/>
      <color rgb="FFFFFFFF"/>
    </font>
    <font>
      <u/>
      <color rgb="FF0000FF"/>
    </font>
    <font>
      <color rgb="FF000000"/>
      <name val="Arial"/>
    </font>
    <font>
      <color rgb="FFFFFFFF"/>
    </font>
    <font>
      <sz val="11.0"/>
      <color rgb="FFFFFFFF"/>
    </font>
    <font>
      <sz val="12.0"/>
      <name val="Calibri"/>
    </font>
    <font>
      <i/>
      <sz val="12.0"/>
    </font>
    <font>
      <sz val="17.0"/>
      <color rgb="FF3F3F3F"/>
      <name val="&quot;Noto Sans&quot;"/>
    </font>
    <font>
      <color rgb="FF3F3F3F"/>
      <name val="&quot;Noto Sans&quot;"/>
    </font>
    <font>
      <b/>
      <color rgb="FF3F3F3F"/>
      <name val="&quot;Noto Sans&quot;"/>
    </font>
    <font>
      <sz val="12.0"/>
      <color rgb="FF000000"/>
    </font>
    <font>
      <u/>
      <color rgb="FF0000FF"/>
    </font>
    <font>
      <b/>
      <sz val="11.0"/>
      <color rgb="FF000000"/>
    </font>
    <font>
      <sz val="10.0"/>
      <name val="Arial"/>
    </font>
    <font>
      <b/>
      <color rgb="FFFFFFFF"/>
      <name val="Arial"/>
    </font>
    <font>
      <b/>
      <color rgb="FF000000"/>
      <name val="Helvetica Neue"/>
    </font>
    <font>
      <color rgb="FF000000"/>
      <name val="Helvetica Neue"/>
    </font>
    <font>
      <u/>
      <color rgb="FF0000FF"/>
      <name val="Helvetica Neue"/>
    </font>
    <font>
      <b/>
      <sz val="12.0"/>
      <color rgb="FF000000"/>
      <name val="Helvetica Neue"/>
    </font>
    <font>
      <b/>
      <sz val="12.0"/>
      <name val="Helvetica Neue"/>
    </font>
    <font>
      <name val="Helvetica Neue"/>
    </font>
    <font>
      <sz val="12.0"/>
      <name val="Helvetica Neue"/>
    </font>
    <font>
      <sz val="13.0"/>
      <name val="Arial"/>
    </font>
    <font>
      <sz val="12.0"/>
      <color rgb="FF000000"/>
      <name val="Helvetica Neue"/>
    </font>
    <font>
      <sz val="13.0"/>
      <color rgb="FF000000"/>
      <name val="Arial"/>
    </font>
    <font>
      <color rgb="FF000000"/>
      <name val="Apple Color Emoji"/>
    </font>
    <font>
      <sz val="12.0"/>
      <color rgb="FF000000"/>
      <name val="Arial"/>
    </font>
    <font>
      <sz val="13.0"/>
    </font>
    <font>
      <b/>
      <sz val="14.0"/>
      <color rgb="FFFFFFFF"/>
      <name val="Arial"/>
    </font>
  </fonts>
  <fills count="27">
    <fill>
      <patternFill patternType="none"/>
    </fill>
    <fill>
      <patternFill patternType="lightGray"/>
    </fill>
    <fill>
      <patternFill patternType="solid">
        <fgColor rgb="FFB7B7B7"/>
        <bgColor rgb="FFB7B7B7"/>
      </patternFill>
    </fill>
    <fill>
      <patternFill patternType="solid">
        <fgColor rgb="FF003366"/>
        <bgColor rgb="FF003366"/>
      </patternFill>
    </fill>
    <fill>
      <patternFill patternType="solid">
        <fgColor rgb="FF99CCFF"/>
        <bgColor rgb="FF99CCFF"/>
      </patternFill>
    </fill>
    <fill>
      <patternFill patternType="solid">
        <fgColor rgb="FF9FC5E8"/>
        <bgColor rgb="FF9FC5E8"/>
      </patternFill>
    </fill>
    <fill>
      <patternFill patternType="solid">
        <fgColor rgb="FF808000"/>
        <bgColor rgb="FF808000"/>
      </patternFill>
    </fill>
    <fill>
      <patternFill patternType="solid">
        <fgColor rgb="FFDDDDDD"/>
        <bgColor rgb="FFDDDDDD"/>
      </patternFill>
    </fill>
    <fill>
      <patternFill patternType="solid">
        <fgColor rgb="FF333399"/>
        <bgColor rgb="FF333399"/>
      </patternFill>
    </fill>
    <fill>
      <patternFill patternType="solid">
        <fgColor rgb="FF93C47D"/>
        <bgColor rgb="FF93C47D"/>
      </patternFill>
    </fill>
    <fill>
      <patternFill patternType="solid">
        <fgColor rgb="FF6AA84F"/>
        <bgColor rgb="FF6AA84F"/>
      </patternFill>
    </fill>
    <fill>
      <patternFill patternType="solid">
        <fgColor rgb="FFCC0000"/>
        <bgColor rgb="FFCC0000"/>
      </patternFill>
    </fill>
    <fill>
      <patternFill patternType="solid">
        <fgColor rgb="FF999999"/>
        <bgColor rgb="FF999999"/>
      </patternFill>
    </fill>
    <fill>
      <patternFill patternType="solid">
        <fgColor rgb="FFD9D9D9"/>
        <bgColor rgb="FFD9D9D9"/>
      </patternFill>
    </fill>
    <fill>
      <patternFill patternType="solid">
        <fgColor rgb="FFFFFFFF"/>
        <bgColor rgb="FFFFFFFF"/>
      </patternFill>
    </fill>
    <fill>
      <patternFill patternType="solid">
        <fgColor rgb="FF808080"/>
        <bgColor rgb="FF808080"/>
      </patternFill>
    </fill>
    <fill>
      <patternFill patternType="solid">
        <fgColor rgb="FFB3D580"/>
        <bgColor rgb="FFB3D580"/>
      </patternFill>
    </fill>
    <fill>
      <patternFill patternType="solid">
        <fgColor rgb="FFCC99FF"/>
        <bgColor rgb="FFCC99FF"/>
      </patternFill>
    </fill>
    <fill>
      <patternFill patternType="solid">
        <fgColor rgb="FFFF9900"/>
        <bgColor rgb="FFFF9900"/>
      </patternFill>
    </fill>
    <fill>
      <patternFill patternType="solid">
        <fgColor rgb="FFF9CB9C"/>
        <bgColor rgb="FFF9CB9C"/>
      </patternFill>
    </fill>
    <fill>
      <patternFill patternType="solid">
        <fgColor rgb="FFFFE599"/>
        <bgColor rgb="FFFFE599"/>
      </patternFill>
    </fill>
    <fill>
      <patternFill patternType="solid">
        <fgColor rgb="FF800000"/>
        <bgColor rgb="FF800000"/>
      </patternFill>
    </fill>
    <fill>
      <patternFill patternType="solid">
        <fgColor rgb="FFE69999"/>
        <bgColor rgb="FFE69999"/>
      </patternFill>
    </fill>
    <fill>
      <patternFill patternType="solid">
        <fgColor rgb="FFEFEFEF"/>
        <bgColor rgb="FFEFEFEF"/>
      </patternFill>
    </fill>
    <fill>
      <patternFill patternType="solid">
        <fgColor rgb="FFCCCCCC"/>
        <bgColor rgb="FFCCCCCC"/>
      </patternFill>
    </fill>
    <fill>
      <patternFill patternType="solid">
        <fgColor rgb="FFB0B3B2"/>
        <bgColor rgb="FFB0B3B2"/>
      </patternFill>
    </fill>
    <fill>
      <patternFill patternType="solid">
        <fgColor rgb="FFD4D4D4"/>
        <bgColor rgb="FFD4D4D4"/>
      </patternFill>
    </fill>
  </fills>
  <borders count="9">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306">
    <xf borderId="0" fillId="0" fontId="0" numFmtId="0" xfId="0" applyAlignment="1" applyFont="1">
      <alignment readingOrder="0" shrinkToFit="0" vertical="bottom" wrapText="1"/>
    </xf>
    <xf borderId="0" fillId="0" fontId="1" numFmtId="0" xfId="0" applyAlignment="1" applyFont="1">
      <alignment readingOrder="0" shrinkToFit="0" vertical="center" wrapText="1"/>
    </xf>
    <xf borderId="0" fillId="0" fontId="2" numFmtId="0" xfId="0" applyAlignment="1" applyFont="1">
      <alignment horizontal="right" readingOrder="0" shrinkToFit="0" vertical="center" wrapText="1"/>
    </xf>
    <xf borderId="0" fillId="0" fontId="3" numFmtId="0" xfId="0" applyAlignment="1" applyFont="1">
      <alignment horizontal="left" shrinkToFit="0" vertical="top" wrapText="1"/>
    </xf>
    <xf borderId="0" fillId="0" fontId="4" numFmtId="0" xfId="0" applyAlignment="1" applyFont="1">
      <alignment shrinkToFit="0" wrapText="1"/>
    </xf>
    <xf borderId="0" fillId="2" fontId="5" numFmtId="0" xfId="0" applyAlignment="1" applyFill="1" applyFont="1">
      <alignment shrinkToFit="0" vertical="bottom" wrapText="1"/>
    </xf>
    <xf borderId="0" fillId="0" fontId="6" numFmtId="0" xfId="0" applyAlignment="1" applyFont="1">
      <alignment shrinkToFit="0" vertical="bottom" wrapText="1"/>
    </xf>
    <xf borderId="0" fillId="0" fontId="7" numFmtId="0" xfId="0" applyAlignment="1" applyFont="1">
      <alignment readingOrder="0" shrinkToFit="0" vertical="center" wrapText="1"/>
    </xf>
    <xf borderId="0" fillId="0" fontId="4" numFmtId="164" xfId="0" applyAlignment="1" applyFont="1" applyNumberFormat="1">
      <alignment readingOrder="0" shrinkToFit="0" vertical="center" wrapText="1"/>
    </xf>
    <xf borderId="0" fillId="0" fontId="3" numFmtId="164" xfId="0" applyAlignment="1" applyFont="1" applyNumberFormat="1">
      <alignment horizontal="left" shrinkToFit="0" vertical="top" wrapText="1"/>
    </xf>
    <xf borderId="0" fillId="0" fontId="4" numFmtId="164" xfId="0" applyAlignment="1" applyFont="1" applyNumberFormat="1">
      <alignment shrinkToFit="0" wrapText="1"/>
    </xf>
    <xf borderId="0" fillId="0" fontId="6" numFmtId="164" xfId="0" applyAlignment="1" applyFont="1" applyNumberFormat="1">
      <alignment shrinkToFit="0" vertical="bottom" wrapText="1"/>
    </xf>
    <xf borderId="0" fillId="0" fontId="6" numFmtId="0" xfId="0" applyAlignment="1" applyFont="1">
      <alignment shrinkToFit="0" vertical="bottom" wrapText="1"/>
    </xf>
    <xf borderId="0" fillId="0" fontId="8" numFmtId="0" xfId="0" applyAlignment="1" applyFont="1">
      <alignment horizontal="left" readingOrder="0" shrinkToFit="0" vertical="center" wrapText="0"/>
    </xf>
    <xf borderId="0" fillId="0" fontId="7" numFmtId="0" xfId="0" applyAlignment="1" applyFont="1">
      <alignment readingOrder="0" shrinkToFit="0" vertical="center" wrapText="1"/>
    </xf>
    <xf borderId="0" fillId="0" fontId="9" numFmtId="165" xfId="0" applyAlignment="1" applyFont="1" applyNumberFormat="1">
      <alignment horizontal="right" readingOrder="0" shrinkToFit="0" vertical="bottom" wrapText="1"/>
    </xf>
    <xf borderId="0" fillId="0" fontId="3" numFmtId="165" xfId="0" applyAlignment="1" applyFont="1" applyNumberFormat="1">
      <alignment horizontal="left" shrinkToFit="0" vertical="top" wrapText="1"/>
    </xf>
    <xf borderId="0" fillId="0" fontId="4" numFmtId="165" xfId="0" applyAlignment="1" applyFont="1" applyNumberFormat="1">
      <alignment shrinkToFit="0" wrapText="1"/>
    </xf>
    <xf borderId="0" fillId="0" fontId="6" numFmtId="165" xfId="0" applyAlignment="1" applyFont="1" applyNumberFormat="1">
      <alignment shrinkToFit="0" vertical="bottom" wrapText="1"/>
    </xf>
    <xf borderId="0" fillId="0" fontId="10" numFmtId="0" xfId="0" applyAlignment="1" applyFont="1">
      <alignment horizontal="left" readingOrder="0" shrinkToFit="0" vertical="center" wrapText="1"/>
    </xf>
    <xf borderId="0" fillId="0" fontId="4" numFmtId="0" xfId="0" applyAlignment="1" applyFont="1">
      <alignment readingOrder="0" shrinkToFit="0" vertical="center" wrapText="1"/>
    </xf>
    <xf borderId="0" fillId="0" fontId="4" numFmtId="0" xfId="0" applyAlignment="1" applyFont="1">
      <alignment horizontal="left" readingOrder="0" shrinkToFit="0" vertical="top" wrapText="1"/>
    </xf>
    <xf borderId="0" fillId="0" fontId="4" numFmtId="0" xfId="0" applyAlignment="1" applyFont="1">
      <alignment readingOrder="0" shrinkToFit="0" vertical="center" wrapText="1"/>
    </xf>
    <xf borderId="0" fillId="0" fontId="8" numFmtId="0" xfId="0" applyAlignment="1" applyFont="1">
      <alignment horizontal="left" readingOrder="0" shrinkToFit="0" vertical="center" wrapText="0"/>
    </xf>
    <xf borderId="0" fillId="0" fontId="11" numFmtId="0" xfId="0" applyAlignment="1" applyFont="1">
      <alignment readingOrder="0" shrinkToFit="0" vertical="center" wrapText="1"/>
    </xf>
    <xf borderId="0" fillId="0" fontId="4" numFmtId="0" xfId="0" applyAlignment="1" applyFont="1">
      <alignment shrinkToFit="0" vertical="center" wrapText="1"/>
    </xf>
    <xf borderId="0" fillId="0" fontId="3" numFmtId="0" xfId="0" applyAlignment="1" applyFont="1">
      <alignment horizontal="left" shrinkToFit="0" vertical="top" wrapText="1"/>
    </xf>
    <xf borderId="0" fillId="0" fontId="12" numFmtId="0" xfId="0" applyAlignment="1" applyFont="1">
      <alignment readingOrder="0" shrinkToFit="0" vertical="center" wrapText="1"/>
    </xf>
    <xf borderId="1" fillId="0" fontId="4" numFmtId="0" xfId="0" applyAlignment="1" applyBorder="1" applyFont="1">
      <alignment shrinkToFit="0" vertical="center" wrapText="1"/>
    </xf>
    <xf borderId="1" fillId="0" fontId="4" numFmtId="0" xfId="0" applyAlignment="1" applyBorder="1" applyFont="1">
      <alignment horizontal="right" readingOrder="0" shrinkToFit="0" vertical="center" wrapText="1"/>
    </xf>
    <xf borderId="2" fillId="3" fontId="13" numFmtId="0" xfId="0" applyAlignment="1" applyBorder="1" applyFill="1" applyFont="1">
      <alignment horizontal="center" readingOrder="0" shrinkToFit="0" vertical="center" wrapText="1"/>
    </xf>
    <xf borderId="3" fillId="0" fontId="4" numFmtId="0" xfId="0" applyAlignment="1" applyBorder="1" applyFont="1">
      <alignment shrinkToFit="0" wrapText="1"/>
    </xf>
    <xf borderId="4" fillId="0" fontId="4" numFmtId="0" xfId="0" applyAlignment="1" applyBorder="1" applyFont="1">
      <alignment shrinkToFit="0" wrapText="1"/>
    </xf>
    <xf borderId="0" fillId="3" fontId="13" numFmtId="0" xfId="0" applyAlignment="1" applyFont="1">
      <alignment horizontal="center" readingOrder="0" shrinkToFit="0" vertical="center" wrapText="1"/>
    </xf>
    <xf borderId="0" fillId="0" fontId="14" numFmtId="0" xfId="0" applyAlignment="1" applyFont="1">
      <alignment readingOrder="0" shrinkToFit="0" vertical="center" wrapText="1"/>
    </xf>
    <xf borderId="0" fillId="0" fontId="6" numFmtId="0" xfId="0" applyAlignment="1" applyFont="1">
      <alignment horizontal="left" readingOrder="0" shrinkToFit="0" vertical="bottom" wrapText="1"/>
    </xf>
    <xf borderId="0" fillId="0" fontId="6" numFmtId="0" xfId="0" applyAlignment="1" applyFont="1">
      <alignment horizontal="right" readingOrder="0" shrinkToFit="0" vertical="bottom" wrapText="1"/>
    </xf>
    <xf borderId="2" fillId="4" fontId="15" numFmtId="0" xfId="0" applyAlignment="1" applyBorder="1" applyFill="1" applyFont="1">
      <alignment readingOrder="0" shrinkToFit="0" vertical="center" wrapText="1"/>
    </xf>
    <xf borderId="5" fillId="4" fontId="14" numFmtId="0" xfId="0" applyAlignment="1" applyBorder="1" applyFont="1">
      <alignment readingOrder="0" shrinkToFit="0" vertical="center" wrapText="1"/>
    </xf>
    <xf borderId="0" fillId="4" fontId="16" numFmtId="0" xfId="0" applyAlignment="1" applyFont="1">
      <alignment readingOrder="0" shrinkToFit="0" vertical="center" wrapText="1"/>
    </xf>
    <xf borderId="0" fillId="0" fontId="2" numFmtId="166" xfId="0" applyAlignment="1" applyFont="1" applyNumberFormat="1">
      <alignment shrinkToFit="0" wrapText="1"/>
    </xf>
    <xf borderId="0" fillId="0" fontId="2" numFmtId="0" xfId="0" applyAlignment="1" applyFont="1">
      <alignment shrinkToFit="0" wrapText="1"/>
    </xf>
    <xf borderId="0" fillId="0" fontId="15" numFmtId="0" xfId="0" applyAlignment="1" applyFont="1">
      <alignment readingOrder="0" shrinkToFit="0" vertical="center" wrapText="1"/>
    </xf>
    <xf borderId="0" fillId="0" fontId="6" numFmtId="0" xfId="0" applyAlignment="1" applyFont="1">
      <alignment readingOrder="0" shrinkToFit="0" vertical="bottom" wrapText="1"/>
    </xf>
    <xf borderId="2" fillId="4" fontId="15" numFmtId="0" xfId="0" applyAlignment="1" applyBorder="1" applyFont="1">
      <alignment readingOrder="0" shrinkToFit="0" vertical="center" wrapText="1"/>
    </xf>
    <xf borderId="3" fillId="4" fontId="15" numFmtId="0" xfId="0" applyAlignment="1" applyBorder="1" applyFont="1">
      <alignment readingOrder="0" shrinkToFit="0" vertical="center" wrapText="1"/>
    </xf>
    <xf borderId="4" fillId="4" fontId="15" numFmtId="0" xfId="0" applyAlignment="1" applyBorder="1" applyFont="1">
      <alignment readingOrder="0" shrinkToFit="0" vertical="center" wrapText="1"/>
    </xf>
    <xf borderId="0" fillId="5" fontId="17" numFmtId="0" xfId="0" applyAlignment="1" applyFill="1" applyFont="1">
      <alignment readingOrder="0" shrinkToFit="0" vertical="center" wrapText="1"/>
    </xf>
    <xf borderId="0" fillId="0" fontId="18" numFmtId="167" xfId="0" applyAlignment="1" applyFont="1" applyNumberFormat="1">
      <alignment horizontal="right" shrinkToFit="0" vertical="bottom" wrapText="1"/>
    </xf>
    <xf borderId="0" fillId="0" fontId="6" numFmtId="167" xfId="0" applyAlignment="1" applyFont="1" applyNumberFormat="1">
      <alignment readingOrder="0" shrinkToFit="0" vertical="bottom" wrapText="1"/>
    </xf>
    <xf borderId="0" fillId="6" fontId="17" numFmtId="0" xfId="0" applyAlignment="1" applyFill="1" applyFont="1">
      <alignment shrinkToFit="0" vertical="center" wrapText="1"/>
    </xf>
    <xf borderId="0" fillId="0" fontId="19" numFmtId="0" xfId="0" applyAlignment="1" applyFont="1">
      <alignment readingOrder="0" shrinkToFit="0" vertical="center" wrapText="1"/>
    </xf>
    <xf borderId="5" fillId="7" fontId="19" numFmtId="0" xfId="0" applyAlignment="1" applyBorder="1" applyFill="1" applyFont="1">
      <alignment horizontal="left" readingOrder="0" shrinkToFit="0" vertical="center" wrapText="1"/>
    </xf>
    <xf borderId="5" fillId="0" fontId="4" numFmtId="167" xfId="0" applyAlignment="1" applyBorder="1" applyFont="1" applyNumberFormat="1">
      <alignment readingOrder="0" shrinkToFit="0" vertical="center" wrapText="1"/>
    </xf>
    <xf borderId="5" fillId="0" fontId="20" numFmtId="166" xfId="0" applyAlignment="1" applyBorder="1" applyFont="1" applyNumberFormat="1">
      <alignment readingOrder="0" shrinkToFit="0" vertical="center" wrapText="1"/>
    </xf>
    <xf borderId="0" fillId="0" fontId="3" numFmtId="166" xfId="0" applyAlignment="1" applyFont="1" applyNumberFormat="1">
      <alignment horizontal="left" shrinkToFit="0" vertical="top" wrapText="1"/>
    </xf>
    <xf borderId="0" fillId="8" fontId="17" numFmtId="166" xfId="0" applyAlignment="1" applyFill="1" applyFont="1" applyNumberFormat="1">
      <alignment shrinkToFit="0" vertical="center" wrapText="1"/>
    </xf>
    <xf borderId="5" fillId="0" fontId="21" numFmtId="166" xfId="0" applyAlignment="1" applyBorder="1" applyFont="1" applyNumberFormat="1">
      <alignment readingOrder="0" shrinkToFit="0" vertical="center" wrapText="1"/>
    </xf>
    <xf borderId="0" fillId="9" fontId="17" numFmtId="166" xfId="0" applyAlignment="1" applyFill="1" applyFont="1" applyNumberFormat="1">
      <alignment shrinkToFit="0" vertical="center" wrapText="1"/>
    </xf>
    <xf borderId="0" fillId="0" fontId="18" numFmtId="166" xfId="0" applyAlignment="1" applyFont="1" applyNumberFormat="1">
      <alignment horizontal="right" shrinkToFit="0" vertical="bottom" wrapText="1"/>
    </xf>
    <xf borderId="0" fillId="0" fontId="4" numFmtId="167" xfId="0" applyAlignment="1" applyFont="1" applyNumberFormat="1">
      <alignment readingOrder="0" shrinkToFit="0" vertical="center" wrapText="1"/>
    </xf>
    <xf borderId="0" fillId="0" fontId="3" numFmtId="0" xfId="0" applyAlignment="1" applyFont="1">
      <alignment readingOrder="0" shrinkToFit="0" wrapText="1"/>
    </xf>
    <xf borderId="0" fillId="0" fontId="4" numFmtId="166" xfId="0" applyAlignment="1" applyFont="1" applyNumberFormat="1">
      <alignment readingOrder="0" shrinkToFit="0" vertical="top" wrapText="1"/>
    </xf>
    <xf borderId="0" fillId="9" fontId="17" numFmtId="166" xfId="0" applyAlignment="1" applyFont="1" applyNumberFormat="1">
      <alignment readingOrder="0" shrinkToFit="0" vertical="center" wrapText="1"/>
    </xf>
    <xf borderId="0" fillId="10" fontId="16" numFmtId="166" xfId="0" applyAlignment="1" applyFill="1" applyFont="1" applyNumberFormat="1">
      <alignment readingOrder="0" shrinkToFit="0" vertical="center" wrapText="1"/>
    </xf>
    <xf borderId="0" fillId="0" fontId="21" numFmtId="166" xfId="0" applyAlignment="1" applyFont="1" applyNumberFormat="1">
      <alignment shrinkToFit="0" wrapText="1"/>
    </xf>
    <xf borderId="0" fillId="0" fontId="4" numFmtId="167" xfId="0" applyAlignment="1" applyFont="1" applyNumberFormat="1">
      <alignment shrinkToFit="0" vertical="center" wrapText="1"/>
    </xf>
    <xf borderId="5" fillId="0" fontId="4" numFmtId="167" xfId="0" applyAlignment="1" applyBorder="1" applyFont="1" applyNumberFormat="1">
      <alignment shrinkToFit="0" vertical="center" wrapText="1"/>
    </xf>
    <xf borderId="5" fillId="0" fontId="2" numFmtId="166" xfId="0" applyAlignment="1" applyBorder="1" applyFont="1" applyNumberFormat="1">
      <alignment shrinkToFit="0" vertical="center" wrapText="1"/>
    </xf>
    <xf borderId="0" fillId="11" fontId="13" numFmtId="0" xfId="0" applyAlignment="1" applyFill="1" applyFont="1">
      <alignment readingOrder="0" shrinkToFit="0" vertical="center" wrapText="1"/>
    </xf>
    <xf borderId="0" fillId="0" fontId="2" numFmtId="167" xfId="0" applyAlignment="1" applyFont="1" applyNumberFormat="1">
      <alignment shrinkToFit="0" wrapText="1"/>
    </xf>
    <xf borderId="0" fillId="0" fontId="4" numFmtId="167" xfId="0" applyAlignment="1" applyFont="1" applyNumberFormat="1">
      <alignment readingOrder="0" shrinkToFit="0" vertical="center" wrapText="1"/>
    </xf>
    <xf borderId="0" fillId="0" fontId="4" numFmtId="0" xfId="0" applyAlignment="1" applyFont="1">
      <alignment readingOrder="0" shrinkToFit="0" vertical="top" wrapText="1"/>
    </xf>
    <xf borderId="5" fillId="0" fontId="4" numFmtId="167" xfId="0" applyAlignment="1" applyBorder="1" applyFont="1" applyNumberFormat="1">
      <alignment readingOrder="0" shrinkToFit="0" vertical="center" wrapText="1"/>
    </xf>
    <xf borderId="5" fillId="0" fontId="22" numFmtId="167" xfId="0" applyAlignment="1" applyBorder="1" applyFont="1" applyNumberFormat="1">
      <alignment horizontal="right" readingOrder="0" shrinkToFit="0" wrapText="1"/>
    </xf>
    <xf borderId="0" fillId="0" fontId="3" numFmtId="167" xfId="0" applyAlignment="1" applyFont="1" applyNumberFormat="1">
      <alignment horizontal="left" shrinkToFit="0" vertical="top" wrapText="1"/>
    </xf>
    <xf borderId="0" fillId="12" fontId="23" numFmtId="167" xfId="0" applyAlignment="1" applyFill="1" applyFont="1" applyNumberFormat="1">
      <alignment shrinkToFit="0" vertical="center" wrapText="1"/>
    </xf>
    <xf borderId="0" fillId="0" fontId="24" numFmtId="167" xfId="0" applyAlignment="1" applyFont="1" applyNumberFormat="1">
      <alignment horizontal="right" shrinkToFit="0" vertical="bottom" wrapText="1"/>
    </xf>
    <xf borderId="0" fillId="0" fontId="4" numFmtId="167" xfId="0" applyAlignment="1" applyFont="1" applyNumberFormat="1">
      <alignment shrinkToFit="0" wrapText="1"/>
    </xf>
    <xf borderId="0" fillId="0" fontId="6" numFmtId="0" xfId="0" applyAlignment="1" applyFont="1">
      <alignment readingOrder="0" shrinkToFit="0" vertical="top" wrapText="1"/>
    </xf>
    <xf borderId="0" fillId="0" fontId="4" numFmtId="167" xfId="0" applyAlignment="1" applyFont="1" applyNumberFormat="1">
      <alignment readingOrder="0" shrinkToFit="0" vertical="top" wrapText="1"/>
    </xf>
    <xf borderId="0" fillId="0" fontId="4" numFmtId="167" xfId="0" applyAlignment="1" applyFont="1" applyNumberFormat="1">
      <alignment readingOrder="0" shrinkToFit="0" wrapText="1"/>
    </xf>
    <xf borderId="0" fillId="0" fontId="25" numFmtId="167" xfId="0" applyAlignment="1" applyFont="1" applyNumberFormat="1">
      <alignment shrinkToFit="0" vertical="bottom" wrapText="1"/>
    </xf>
    <xf borderId="0" fillId="0" fontId="24" numFmtId="167" xfId="0" applyAlignment="1" applyFont="1" applyNumberFormat="1">
      <alignment horizontal="right" shrinkToFit="0" vertical="top" wrapText="1"/>
    </xf>
    <xf borderId="0" fillId="0" fontId="5" numFmtId="167" xfId="0" applyAlignment="1" applyFont="1" applyNumberFormat="1">
      <alignment horizontal="right" shrinkToFit="0" vertical="top" wrapText="1"/>
    </xf>
    <xf borderId="5" fillId="0" fontId="4" numFmtId="167" xfId="0" applyAlignment="1" applyBorder="1" applyFont="1" applyNumberFormat="1">
      <alignment shrinkToFit="0" vertical="center" wrapText="1"/>
    </xf>
    <xf borderId="0" fillId="0" fontId="25" numFmtId="0" xfId="0" applyAlignment="1" applyFont="1">
      <alignment horizontal="center" shrinkToFit="0" vertical="bottom" wrapText="1"/>
    </xf>
    <xf borderId="0" fillId="0" fontId="25" numFmtId="167" xfId="0" applyAlignment="1" applyFont="1" applyNumberFormat="1">
      <alignment shrinkToFit="0" wrapText="1"/>
    </xf>
    <xf borderId="0" fillId="0" fontId="5" numFmtId="0" xfId="0" applyAlignment="1" applyFont="1">
      <alignment horizontal="right" shrinkToFit="0" vertical="top" wrapText="1"/>
    </xf>
    <xf borderId="5" fillId="13" fontId="25" numFmtId="0" xfId="0" applyAlignment="1" applyBorder="1" applyFill="1" applyFont="1">
      <alignment horizontal="left" shrinkToFit="0" vertical="center" wrapText="1"/>
    </xf>
    <xf borderId="5" fillId="0" fontId="3" numFmtId="0" xfId="0" applyAlignment="1" applyBorder="1" applyFont="1">
      <alignment horizontal="center" readingOrder="0" shrinkToFit="0" vertical="bottom" wrapText="1"/>
    </xf>
    <xf borderId="5" fillId="0" fontId="26" numFmtId="166" xfId="0" applyAlignment="1" applyBorder="1" applyFont="1" applyNumberFormat="1">
      <alignment horizontal="right" shrinkToFit="0" vertical="bottom" wrapText="1"/>
    </xf>
    <xf borderId="0" fillId="0" fontId="27" numFmtId="167" xfId="0" applyAlignment="1" applyFont="1" applyNumberFormat="1">
      <alignment shrinkToFit="0" vertical="bottom" wrapText="1"/>
    </xf>
    <xf borderId="5" fillId="0" fontId="22" numFmtId="167" xfId="0" applyAlignment="1" applyBorder="1" applyFont="1" applyNumberFormat="1">
      <alignment horizontal="right" shrinkToFit="0" wrapText="1"/>
    </xf>
    <xf borderId="0" fillId="0" fontId="4" numFmtId="167" xfId="0" applyAlignment="1" applyFont="1" applyNumberFormat="1">
      <alignment shrinkToFit="0" vertical="center" wrapText="1"/>
    </xf>
    <xf borderId="5" fillId="0" fontId="22" numFmtId="166" xfId="0" applyAlignment="1" applyBorder="1" applyFont="1" applyNumberFormat="1">
      <alignment readingOrder="0" shrinkToFit="0" vertical="bottom" wrapText="1"/>
    </xf>
    <xf borderId="5" fillId="0" fontId="22" numFmtId="167" xfId="0" applyAlignment="1" applyBorder="1" applyFont="1" applyNumberFormat="1">
      <alignment horizontal="right" shrinkToFit="0" wrapText="1"/>
    </xf>
    <xf borderId="0" fillId="0" fontId="3" numFmtId="167" xfId="0" applyAlignment="1" applyFont="1" applyNumberFormat="1">
      <alignment horizontal="left" shrinkToFit="0" vertical="top" wrapText="1"/>
    </xf>
    <xf borderId="0" fillId="0" fontId="4" numFmtId="167" xfId="0" applyAlignment="1" applyFont="1" applyNumberFormat="1">
      <alignment shrinkToFit="0" wrapText="1"/>
    </xf>
    <xf borderId="5" fillId="7" fontId="20" numFmtId="0" xfId="0" applyAlignment="1" applyBorder="1" applyFont="1">
      <alignment horizontal="left" readingOrder="0" shrinkToFit="0" vertical="center" wrapText="1"/>
    </xf>
    <xf borderId="5" fillId="0" fontId="3" numFmtId="166" xfId="0" applyAlignment="1" applyBorder="1" applyFont="1" applyNumberFormat="1">
      <alignment horizontal="center" readingOrder="0" shrinkToFit="0" vertical="bottom" wrapText="1"/>
    </xf>
    <xf borderId="5" fillId="0" fontId="18" numFmtId="167" xfId="0" applyAlignment="1" applyBorder="1" applyFont="1" applyNumberFormat="1">
      <alignment horizontal="right" shrinkToFit="0" wrapText="1"/>
    </xf>
    <xf borderId="0" fillId="0" fontId="25" numFmtId="0" xfId="0" applyAlignment="1" applyFont="1">
      <alignment shrinkToFit="0" vertical="bottom" wrapText="1"/>
    </xf>
    <xf borderId="0" fillId="0" fontId="22" numFmtId="0" xfId="0" applyAlignment="1" applyFont="1">
      <alignment shrinkToFit="0" vertical="bottom" wrapText="1"/>
    </xf>
    <xf borderId="0" fillId="0" fontId="28" numFmtId="0" xfId="0" applyAlignment="1" applyFont="1">
      <alignment readingOrder="0" shrinkToFit="0" wrapText="1"/>
    </xf>
    <xf borderId="5" fillId="13" fontId="26" numFmtId="0" xfId="0" applyAlignment="1" applyBorder="1" applyFont="1">
      <alignment horizontal="left" shrinkToFit="0" vertical="center" wrapText="1"/>
    </xf>
    <xf borderId="5" fillId="0" fontId="18" numFmtId="166" xfId="0" applyAlignment="1" applyBorder="1" applyFont="1" applyNumberFormat="1">
      <alignment horizontal="right" shrinkToFit="0" vertical="bottom" wrapText="1"/>
    </xf>
    <xf borderId="0" fillId="0" fontId="29" numFmtId="0" xfId="0" applyAlignment="1" applyFont="1">
      <alignment shrinkToFit="0" vertical="bottom" wrapText="1"/>
    </xf>
    <xf borderId="5" fillId="13" fontId="29" numFmtId="0" xfId="0" applyAlignment="1" applyBorder="1" applyFont="1">
      <alignment horizontal="left" shrinkToFit="0" vertical="center" wrapText="1"/>
    </xf>
    <xf borderId="5" fillId="0" fontId="30" numFmtId="0" xfId="0" applyAlignment="1" applyBorder="1" applyFont="1">
      <alignment shrinkToFit="0" vertical="center" wrapText="1"/>
    </xf>
    <xf borderId="0" fillId="0" fontId="21" numFmtId="0" xfId="0" applyAlignment="1" applyFont="1">
      <alignment readingOrder="0" shrinkToFit="0" wrapText="1"/>
    </xf>
    <xf borderId="0" fillId="0" fontId="4" numFmtId="0" xfId="0" applyAlignment="1" applyFont="1">
      <alignment readingOrder="0" shrinkToFit="0" wrapText="1"/>
    </xf>
    <xf borderId="0" fillId="0" fontId="29" numFmtId="0" xfId="0" applyAlignment="1" applyFont="1">
      <alignment readingOrder="0" shrinkToFit="0" vertical="bottom" wrapText="1"/>
    </xf>
    <xf borderId="0" fillId="0" fontId="30" numFmtId="10" xfId="0" applyAlignment="1" applyFont="1" applyNumberFormat="1">
      <alignment shrinkToFit="0" vertical="center" wrapText="1"/>
    </xf>
    <xf borderId="0" fillId="0" fontId="30" numFmtId="166" xfId="0" applyAlignment="1" applyFont="1" applyNumberFormat="1">
      <alignment shrinkToFit="0" vertical="center" wrapText="1"/>
    </xf>
    <xf borderId="5" fillId="13" fontId="29" numFmtId="0" xfId="0" applyAlignment="1" applyBorder="1" applyFont="1">
      <alignment horizontal="left" readingOrder="0" shrinkToFit="0" vertical="center" wrapText="1"/>
    </xf>
    <xf borderId="5" fillId="0" fontId="30" numFmtId="10" xfId="0" applyAlignment="1" applyBorder="1" applyFont="1" applyNumberFormat="1">
      <alignment shrinkToFit="0" vertical="center" wrapText="1"/>
    </xf>
    <xf borderId="5" fillId="0" fontId="30" numFmtId="166" xfId="0" applyAlignment="1" applyBorder="1" applyFont="1" applyNumberFormat="1">
      <alignment shrinkToFit="0" vertical="center" wrapText="1"/>
    </xf>
    <xf borderId="0" fillId="0" fontId="3" numFmtId="166" xfId="0" applyAlignment="1" applyFont="1" applyNumberFormat="1">
      <alignment horizontal="left" shrinkToFit="0" vertical="top" wrapText="1"/>
    </xf>
    <xf borderId="0" fillId="0" fontId="4" numFmtId="166" xfId="0" applyAlignment="1" applyFont="1" applyNumberFormat="1">
      <alignment readingOrder="0" shrinkToFit="0" wrapText="1"/>
    </xf>
    <xf borderId="0" fillId="0" fontId="4" numFmtId="166" xfId="0" applyAlignment="1" applyFont="1" applyNumberFormat="1">
      <alignment shrinkToFit="0" wrapText="1"/>
    </xf>
    <xf borderId="0" fillId="0" fontId="25" numFmtId="168" xfId="0" applyAlignment="1" applyFont="1" applyNumberFormat="1">
      <alignment readingOrder="0" shrinkToFit="0" vertical="bottom" wrapText="1"/>
    </xf>
    <xf borderId="0" fillId="0" fontId="21" numFmtId="166" xfId="0" applyAlignment="1" applyFont="1" applyNumberFormat="1">
      <alignment readingOrder="0" shrinkToFit="0" wrapText="1"/>
    </xf>
    <xf borderId="0" fillId="0" fontId="30" numFmtId="10" xfId="0" applyAlignment="1" applyFont="1" applyNumberFormat="1">
      <alignment readingOrder="0" shrinkToFit="0" vertical="center" wrapText="1"/>
    </xf>
    <xf borderId="5" fillId="0" fontId="30" numFmtId="10" xfId="0" applyAlignment="1" applyBorder="1" applyFont="1" applyNumberFormat="1">
      <alignment readingOrder="0" shrinkToFit="0" vertical="center" wrapText="1"/>
    </xf>
    <xf borderId="0" fillId="0" fontId="19" numFmtId="0" xfId="0" applyAlignment="1" applyFont="1">
      <alignment shrinkToFit="0" vertical="center" wrapText="1"/>
    </xf>
    <xf borderId="5" fillId="7" fontId="19" numFmtId="0" xfId="0" applyAlignment="1" applyBorder="1" applyFont="1">
      <alignment horizontal="left" shrinkToFit="0" vertical="center" wrapText="1"/>
    </xf>
    <xf borderId="0" fillId="0" fontId="4" numFmtId="168" xfId="0" applyAlignment="1" applyFont="1" applyNumberFormat="1">
      <alignment readingOrder="0" shrinkToFit="0" wrapText="1"/>
    </xf>
    <xf borderId="0" fillId="0" fontId="31" numFmtId="0" xfId="0" applyAlignment="1" applyFont="1">
      <alignment shrinkToFit="0" vertical="center" wrapText="1"/>
    </xf>
    <xf borderId="0" fillId="0" fontId="31" numFmtId="167" xfId="0" applyAlignment="1" applyFont="1" applyNumberFormat="1">
      <alignment shrinkToFit="0" vertical="center" wrapText="1"/>
    </xf>
    <xf borderId="0" fillId="0" fontId="32" numFmtId="168" xfId="0" applyAlignment="1" applyFont="1" applyNumberFormat="1">
      <alignment shrinkToFit="0" vertical="center" wrapText="1"/>
    </xf>
    <xf borderId="5" fillId="13" fontId="31" numFmtId="0" xfId="0" applyAlignment="1" applyBorder="1" applyFont="1">
      <alignment shrinkToFit="0" vertical="center" wrapText="1"/>
    </xf>
    <xf borderId="5" fillId="14" fontId="31" numFmtId="167" xfId="0" applyAlignment="1" applyBorder="1" applyFill="1" applyFont="1" applyNumberFormat="1">
      <alignment shrinkToFit="0" vertical="center" wrapText="1"/>
    </xf>
    <xf borderId="5" fillId="14" fontId="32" numFmtId="168" xfId="0" applyAlignment="1" applyBorder="1" applyFont="1" applyNumberFormat="1">
      <alignment shrinkToFit="0" vertical="center" wrapText="1"/>
    </xf>
    <xf borderId="0" fillId="0" fontId="3" numFmtId="168" xfId="0" applyAlignment="1" applyFont="1" applyNumberFormat="1">
      <alignment horizontal="left" shrinkToFit="0" vertical="top" wrapText="1"/>
    </xf>
    <xf borderId="0" fillId="0" fontId="4" numFmtId="168" xfId="0" applyAlignment="1" applyFont="1" applyNumberFormat="1">
      <alignment shrinkToFit="0" wrapText="1"/>
    </xf>
    <xf borderId="0" fillId="0" fontId="33" numFmtId="0" xfId="0" applyAlignment="1" applyFont="1">
      <alignment readingOrder="0" shrinkToFit="0" vertical="center" wrapText="1"/>
    </xf>
    <xf borderId="0" fillId="0" fontId="34" numFmtId="10" xfId="0" applyAlignment="1" applyFont="1" applyNumberFormat="1">
      <alignment readingOrder="0" shrinkToFit="0" vertical="center" wrapText="1"/>
    </xf>
    <xf borderId="0" fillId="0" fontId="33" numFmtId="168" xfId="0" applyAlignment="1" applyFont="1" applyNumberFormat="1">
      <alignment shrinkToFit="0" vertical="center" wrapText="1"/>
    </xf>
    <xf borderId="5" fillId="13" fontId="33" numFmtId="0" xfId="0" applyAlignment="1" applyBorder="1" applyFont="1">
      <alignment readingOrder="0" shrinkToFit="0" vertical="center" wrapText="1"/>
    </xf>
    <xf borderId="5" fillId="14" fontId="34" numFmtId="10" xfId="0" applyAlignment="1" applyBorder="1" applyFont="1" applyNumberFormat="1">
      <alignment readingOrder="0" shrinkToFit="0" vertical="center" wrapText="1"/>
    </xf>
    <xf borderId="5" fillId="14" fontId="33" numFmtId="168" xfId="0" applyAlignment="1" applyBorder="1" applyFont="1" applyNumberFormat="1">
      <alignment shrinkToFit="0" vertical="center" wrapText="1"/>
    </xf>
    <xf borderId="0" fillId="0" fontId="16" numFmtId="0" xfId="0" applyAlignment="1" applyFont="1">
      <alignment readingOrder="0" shrinkToFit="0" vertical="center" wrapText="1"/>
    </xf>
    <xf borderId="0" fillId="0" fontId="16" numFmtId="167" xfId="0" applyAlignment="1" applyFont="1" applyNumberFormat="1">
      <alignment shrinkToFit="0" vertical="center" wrapText="1"/>
    </xf>
    <xf borderId="0" fillId="0" fontId="35" numFmtId="0" xfId="0" applyAlignment="1" applyFont="1">
      <alignment shrinkToFit="0" vertical="center" wrapText="1"/>
    </xf>
    <xf borderId="5" fillId="15" fontId="16" numFmtId="0" xfId="0" applyAlignment="1" applyBorder="1" applyFill="1" applyFont="1">
      <alignment readingOrder="0" shrinkToFit="0" vertical="center" wrapText="1"/>
    </xf>
    <xf borderId="5" fillId="15" fontId="16" numFmtId="167" xfId="0" applyAlignment="1" applyBorder="1" applyFont="1" applyNumberFormat="1">
      <alignment shrinkToFit="0" vertical="center" wrapText="1"/>
    </xf>
    <xf borderId="5" fillId="15" fontId="35" numFmtId="166" xfId="0" applyAlignment="1" applyBorder="1" applyFont="1" applyNumberFormat="1">
      <alignment shrinkToFit="0" vertical="center" wrapText="1"/>
    </xf>
    <xf borderId="0" fillId="0" fontId="25" numFmtId="166" xfId="0" applyAlignment="1" applyFont="1" applyNumberFormat="1">
      <alignment horizontal="center" shrinkToFit="0" vertical="bottom" wrapText="1"/>
    </xf>
    <xf borderId="2" fillId="6" fontId="13" numFmtId="0" xfId="0" applyAlignment="1" applyBorder="1" applyFont="1">
      <alignment horizontal="center" readingOrder="0" shrinkToFit="0" vertical="center" wrapText="1"/>
    </xf>
    <xf borderId="0" fillId="0" fontId="26" numFmtId="0" xfId="0" applyAlignment="1" applyFont="1">
      <alignment horizontal="left" readingOrder="0" shrinkToFit="0" vertical="top" wrapText="1"/>
    </xf>
    <xf borderId="2" fillId="16" fontId="7" numFmtId="0" xfId="0" applyAlignment="1" applyBorder="1" applyFill="1" applyFont="1">
      <alignment readingOrder="0" shrinkToFit="0" vertical="center" wrapText="1"/>
    </xf>
    <xf borderId="5" fillId="16" fontId="19" numFmtId="0" xfId="0" applyAlignment="1" applyBorder="1" applyFont="1">
      <alignment horizontal="left" readingOrder="0" shrinkToFit="0" vertical="center" wrapText="1"/>
    </xf>
    <xf borderId="0" fillId="0" fontId="3" numFmtId="0" xfId="0" applyAlignment="1" applyFont="1">
      <alignment shrinkToFit="0" vertical="bottom" wrapText="1"/>
    </xf>
    <xf borderId="5" fillId="7" fontId="19" numFmtId="0" xfId="0" applyAlignment="1" applyBorder="1" applyFont="1">
      <alignment horizontal="left" readingOrder="0" shrinkToFit="0" vertical="center" wrapText="1"/>
    </xf>
    <xf borderId="5" fillId="0" fontId="20" numFmtId="167" xfId="0" applyAlignment="1" applyBorder="1" applyFont="1" applyNumberFormat="1">
      <alignment readingOrder="0" shrinkToFit="0" vertical="center" wrapText="1"/>
    </xf>
    <xf borderId="5" fillId="0" fontId="4" numFmtId="0" xfId="0" applyAlignment="1" applyBorder="1" applyFont="1">
      <alignment readingOrder="0" shrinkToFit="0" vertical="center" wrapText="1"/>
    </xf>
    <xf borderId="0" fillId="0" fontId="3" numFmtId="0" xfId="0" applyAlignment="1" applyFont="1">
      <alignment shrinkToFit="0" vertical="bottom" wrapText="1"/>
    </xf>
    <xf borderId="5" fillId="0" fontId="21" numFmtId="167" xfId="0" applyAlignment="1" applyBorder="1" applyFont="1" applyNumberFormat="1">
      <alignment horizontal="center" readingOrder="0" shrinkToFit="0" vertical="center" wrapText="1"/>
    </xf>
    <xf borderId="5" fillId="7" fontId="4" numFmtId="0" xfId="0" applyAlignment="1" applyBorder="1" applyFont="1">
      <alignment readingOrder="0" shrinkToFit="0" vertical="center" wrapText="1"/>
    </xf>
    <xf borderId="5" fillId="0" fontId="3" numFmtId="0" xfId="0" applyAlignment="1" applyBorder="1" applyFont="1">
      <alignment horizontal="left" readingOrder="0" shrinkToFit="0" vertical="top" wrapText="1"/>
    </xf>
    <xf borderId="0" fillId="0" fontId="6" numFmtId="0" xfId="0" applyAlignment="1" applyFont="1">
      <alignment shrinkToFit="0" vertical="top" wrapText="1"/>
    </xf>
    <xf borderId="5" fillId="7" fontId="21" numFmtId="0" xfId="0" applyAlignment="1" applyBorder="1" applyFont="1">
      <alignment readingOrder="0" shrinkToFit="0" vertical="center" wrapText="1"/>
    </xf>
    <xf borderId="5" fillId="0" fontId="21" numFmtId="167" xfId="0" applyAlignment="1" applyBorder="1" applyFont="1" applyNumberFormat="1">
      <alignment readingOrder="0" shrinkToFit="0" vertical="center" wrapText="1"/>
    </xf>
    <xf borderId="0" fillId="0" fontId="6" numFmtId="0" xfId="0" applyAlignment="1" applyFont="1">
      <alignment horizontal="left" shrinkToFit="0" vertical="top" wrapText="1"/>
    </xf>
    <xf borderId="5" fillId="7" fontId="4" numFmtId="0" xfId="0" applyAlignment="1" applyBorder="1" applyFont="1">
      <alignment readingOrder="0" shrinkToFit="0" vertical="center" wrapText="1"/>
    </xf>
    <xf borderId="0" fillId="0" fontId="3" numFmtId="0" xfId="0" applyAlignment="1" applyFont="1">
      <alignment horizontal="left" readingOrder="0" shrinkToFit="0" vertical="top" wrapText="1"/>
    </xf>
    <xf borderId="2" fillId="0" fontId="4" numFmtId="0" xfId="0" applyAlignment="1" applyBorder="1" applyFont="1">
      <alignment readingOrder="0" shrinkToFit="0" vertical="center" wrapText="1"/>
    </xf>
    <xf borderId="0" fillId="0" fontId="28" numFmtId="0" xfId="0" applyAlignment="1" applyFont="1">
      <alignment shrinkToFit="0" wrapText="1"/>
    </xf>
    <xf borderId="0" fillId="0" fontId="3" numFmtId="0" xfId="0" applyAlignment="1" applyFont="1">
      <alignment shrinkToFit="0" vertical="bottom" wrapText="1"/>
    </xf>
    <xf borderId="5" fillId="0" fontId="4" numFmtId="0" xfId="0" applyAlignment="1" applyBorder="1" applyFont="1">
      <alignment shrinkToFit="0" vertical="center" wrapText="1"/>
    </xf>
    <xf borderId="5" fillId="7" fontId="4" numFmtId="0" xfId="0" applyAlignment="1" applyBorder="1" applyFont="1">
      <alignment readingOrder="0" shrinkToFit="0" vertical="center" wrapText="1"/>
    </xf>
    <xf borderId="5" fillId="7" fontId="36" numFmtId="0" xfId="0" applyAlignment="1" applyBorder="1" applyFont="1">
      <alignment readingOrder="0" shrinkToFit="0" vertical="center" wrapText="1"/>
    </xf>
    <xf borderId="5" fillId="0" fontId="37" numFmtId="0" xfId="0" applyAlignment="1" applyBorder="1" applyFont="1">
      <alignment horizontal="left" readingOrder="0" shrinkToFit="0" wrapText="1"/>
    </xf>
    <xf borderId="5" fillId="15" fontId="32" numFmtId="0" xfId="0" applyAlignment="1" applyBorder="1" applyFont="1">
      <alignment readingOrder="0" shrinkToFit="0" vertical="center" wrapText="1"/>
    </xf>
    <xf borderId="5" fillId="15" fontId="38" numFmtId="167" xfId="0" applyAlignment="1" applyBorder="1" applyFont="1" applyNumberFormat="1">
      <alignment readingOrder="0" shrinkToFit="0" vertical="center" wrapText="1"/>
    </xf>
    <xf borderId="5" fillId="15" fontId="38" numFmtId="167" xfId="0" applyAlignment="1" applyBorder="1" applyFont="1" applyNumberFormat="1">
      <alignment shrinkToFit="0" vertical="center" wrapText="1"/>
    </xf>
    <xf borderId="5" fillId="15" fontId="35" numFmtId="167" xfId="0" applyAlignment="1" applyBorder="1" applyFont="1" applyNumberFormat="1">
      <alignment shrinkToFit="0" vertical="center" wrapText="1"/>
    </xf>
    <xf borderId="6" fillId="15" fontId="16" numFmtId="0" xfId="0" applyAlignment="1" applyBorder="1" applyFont="1">
      <alignment readingOrder="0" shrinkToFit="0" vertical="center" wrapText="1"/>
    </xf>
    <xf borderId="6" fillId="15" fontId="35" numFmtId="167" xfId="0" applyAlignment="1" applyBorder="1" applyFont="1" applyNumberFormat="1">
      <alignment shrinkToFit="0" vertical="center" wrapText="1"/>
    </xf>
    <xf borderId="0" fillId="0" fontId="13" numFmtId="0" xfId="0" applyAlignment="1" applyFont="1">
      <alignment horizontal="center" readingOrder="0" shrinkToFit="0" vertical="center" wrapText="1"/>
    </xf>
    <xf borderId="7" fillId="8" fontId="13" numFmtId="0" xfId="0" applyAlignment="1" applyBorder="1" applyFont="1">
      <alignment horizontal="center" readingOrder="0" shrinkToFit="0" vertical="center" wrapText="1"/>
    </xf>
    <xf borderId="1" fillId="0" fontId="4" numFmtId="0" xfId="0" applyAlignment="1" applyBorder="1" applyFont="1">
      <alignment shrinkToFit="0" wrapText="1"/>
    </xf>
    <xf borderId="8" fillId="0" fontId="4" numFmtId="0" xfId="0" applyAlignment="1" applyBorder="1" applyFont="1">
      <alignment shrinkToFit="0" wrapText="1"/>
    </xf>
    <xf borderId="2" fillId="17" fontId="7" numFmtId="0" xfId="0" applyAlignment="1" applyBorder="1" applyFill="1" applyFont="1">
      <alignment readingOrder="0" shrinkToFit="0" vertical="center" wrapText="1"/>
    </xf>
    <xf borderId="4" fillId="17" fontId="12" numFmtId="0" xfId="0" applyAlignment="1" applyBorder="1" applyFont="1">
      <alignment readingOrder="0" shrinkToFit="0" vertical="center" wrapText="1"/>
    </xf>
    <xf borderId="0" fillId="0" fontId="6" numFmtId="0" xfId="0" applyAlignment="1" applyFont="1">
      <alignment horizontal="left" shrinkToFit="0" vertical="top" wrapText="1"/>
    </xf>
    <xf borderId="5" fillId="7" fontId="25" numFmtId="0" xfId="0" applyAlignment="1" applyBorder="1" applyFont="1">
      <alignment shrinkToFit="0" wrapText="1"/>
    </xf>
    <xf borderId="5" fillId="0" fontId="27" numFmtId="167" xfId="0" applyAlignment="1" applyBorder="1" applyFont="1" applyNumberFormat="1">
      <alignment horizontal="right" shrinkToFit="0" wrapText="1"/>
    </xf>
    <xf borderId="5" fillId="0" fontId="27" numFmtId="0" xfId="0" applyAlignment="1" applyBorder="1" applyFont="1">
      <alignment shrinkToFit="0" wrapText="1"/>
    </xf>
    <xf borderId="5" fillId="15" fontId="31" numFmtId="0" xfId="0" applyAlignment="1" applyBorder="1" applyFont="1">
      <alignment readingOrder="0" shrinkToFit="0" vertical="center" wrapText="1"/>
    </xf>
    <xf borderId="5" fillId="15" fontId="13" numFmtId="167" xfId="0" applyAlignment="1" applyBorder="1" applyFont="1" applyNumberFormat="1">
      <alignment shrinkToFit="0" vertical="center" wrapText="1"/>
    </xf>
    <xf borderId="0" fillId="0" fontId="6" numFmtId="0" xfId="0" applyAlignment="1" applyFont="1">
      <alignment shrinkToFit="0" vertical="top" wrapText="1"/>
    </xf>
    <xf borderId="3" fillId="15" fontId="16" numFmtId="0" xfId="0" applyAlignment="1" applyBorder="1" applyFont="1">
      <alignment readingOrder="0" shrinkToFit="0" vertical="center" wrapText="1"/>
    </xf>
    <xf borderId="3" fillId="15" fontId="16" numFmtId="167" xfId="0" applyAlignment="1" applyBorder="1" applyFont="1" applyNumberFormat="1">
      <alignment shrinkToFit="0" vertical="center" wrapText="1"/>
    </xf>
    <xf borderId="3" fillId="0" fontId="21" numFmtId="0" xfId="0" applyAlignment="1" applyBorder="1" applyFont="1">
      <alignment readingOrder="0" shrinkToFit="0" vertical="center" wrapText="1"/>
    </xf>
    <xf borderId="3" fillId="0" fontId="13" numFmtId="0" xfId="0" applyAlignment="1" applyBorder="1" applyFont="1">
      <alignment horizontal="center" readingOrder="0" shrinkToFit="0" vertical="center" wrapText="1"/>
    </xf>
    <xf borderId="3" fillId="0" fontId="4" numFmtId="0" xfId="0" applyAlignment="1" applyBorder="1" applyFont="1">
      <alignment shrinkToFit="0" vertical="center" wrapText="1"/>
    </xf>
    <xf borderId="3" fillId="18" fontId="21" numFmtId="0" xfId="0" applyAlignment="1" applyBorder="1" applyFill="1" applyFont="1">
      <alignment readingOrder="0" shrinkToFit="0" vertical="center" wrapText="1"/>
    </xf>
    <xf borderId="3" fillId="18" fontId="13" numFmtId="0" xfId="0" applyAlignment="1" applyBorder="1" applyFont="1">
      <alignment horizontal="center" readingOrder="0" shrinkToFit="0" vertical="center" wrapText="1"/>
    </xf>
    <xf borderId="3" fillId="18" fontId="4" numFmtId="0" xfId="0" applyAlignment="1" applyBorder="1" applyFont="1">
      <alignment shrinkToFit="0" vertical="center" wrapText="1"/>
    </xf>
    <xf borderId="3" fillId="19" fontId="4" numFmtId="0" xfId="0" applyAlignment="1" applyBorder="1" applyFill="1" applyFont="1">
      <alignment readingOrder="0" shrinkToFit="0" vertical="center" wrapText="1"/>
    </xf>
    <xf borderId="3" fillId="19" fontId="4" numFmtId="167" xfId="0" applyAlignment="1" applyBorder="1" applyFont="1" applyNumberFormat="1">
      <alignment readingOrder="0" shrinkToFit="0" vertical="center" wrapText="1"/>
    </xf>
    <xf borderId="3" fillId="20" fontId="21" numFmtId="0" xfId="0" applyAlignment="1" applyBorder="1" applyFill="1" applyFont="1">
      <alignment readingOrder="0" shrinkToFit="0" vertical="center" wrapText="1"/>
    </xf>
    <xf borderId="3" fillId="20" fontId="4" numFmtId="167" xfId="0" applyAlignment="1" applyBorder="1" applyFont="1" applyNumberFormat="1">
      <alignment readingOrder="0" shrinkToFit="0" vertical="center" wrapText="1"/>
    </xf>
    <xf borderId="3" fillId="20" fontId="4" numFmtId="0" xfId="0" applyAlignment="1" applyBorder="1" applyFont="1">
      <alignment readingOrder="0" shrinkToFit="0" vertical="center" wrapText="1"/>
    </xf>
    <xf borderId="0" fillId="0" fontId="27" numFmtId="0" xfId="0" applyAlignment="1" applyFont="1">
      <alignment shrinkToFit="0" vertical="bottom" wrapText="1"/>
    </xf>
    <xf borderId="3" fillId="15" fontId="38" numFmtId="0" xfId="0" applyAlignment="1" applyBorder="1" applyFont="1">
      <alignment readingOrder="0" shrinkToFit="0" vertical="center" wrapText="1"/>
    </xf>
    <xf borderId="3" fillId="15" fontId="32" numFmtId="166" xfId="0" applyAlignment="1" applyBorder="1" applyFont="1" applyNumberFormat="1">
      <alignment shrinkToFit="0" vertical="center" wrapText="1"/>
    </xf>
    <xf borderId="3" fillId="15" fontId="39" numFmtId="0" xfId="0" applyAlignment="1" applyBorder="1" applyFont="1">
      <alignment readingOrder="0" shrinkToFit="0" vertical="center" wrapText="1"/>
    </xf>
    <xf borderId="3" fillId="15" fontId="32" numFmtId="167" xfId="0" applyAlignment="1" applyBorder="1" applyFont="1" applyNumberFormat="1">
      <alignment shrinkToFit="0" vertical="center" wrapText="1"/>
    </xf>
    <xf borderId="3" fillId="15" fontId="35" numFmtId="167" xfId="0" applyAlignment="1" applyBorder="1" applyFont="1" applyNumberFormat="1">
      <alignment shrinkToFit="0" vertical="center" wrapText="1"/>
    </xf>
    <xf borderId="2" fillId="21" fontId="13" numFmtId="0" xfId="0" applyAlignment="1" applyBorder="1" applyFill="1" applyFont="1">
      <alignment horizontal="center" readingOrder="0" shrinkToFit="0" vertical="center" wrapText="1"/>
    </xf>
    <xf borderId="2" fillId="22" fontId="15" numFmtId="0" xfId="0" applyAlignment="1" applyBorder="1" applyFill="1" applyFont="1">
      <alignment readingOrder="0" shrinkToFit="0" vertical="center" wrapText="1"/>
    </xf>
    <xf borderId="0" fillId="0" fontId="2" numFmtId="0" xfId="0" applyAlignment="1" applyFont="1">
      <alignment readingOrder="0" shrinkToFit="0" vertical="center" wrapText="1"/>
    </xf>
    <xf borderId="0" fillId="0" fontId="2" numFmtId="167" xfId="0" applyAlignment="1" applyFont="1" applyNumberFormat="1">
      <alignment horizontal="center" shrinkToFit="0" vertical="center" wrapText="1"/>
    </xf>
    <xf borderId="0" fillId="0" fontId="2" numFmtId="167" xfId="0" applyAlignment="1" applyFont="1" applyNumberFormat="1">
      <alignment horizontal="center" readingOrder="0" shrinkToFit="0" vertical="center" wrapText="1"/>
    </xf>
    <xf borderId="0" fillId="5" fontId="16" numFmtId="0" xfId="0" applyAlignment="1" applyFont="1">
      <alignment horizontal="center" readingOrder="0" shrinkToFit="0" vertical="center" wrapText="1"/>
    </xf>
    <xf borderId="5" fillId="13" fontId="4" numFmtId="0" xfId="0" applyAlignment="1" applyBorder="1" applyFont="1">
      <alignment readingOrder="0" shrinkToFit="0" wrapText="1"/>
    </xf>
    <xf borderId="5" fillId="13" fontId="4" numFmtId="0" xfId="0" applyAlignment="1" applyBorder="1" applyFont="1">
      <alignment shrinkToFit="0" wrapText="1"/>
    </xf>
    <xf borderId="5" fillId="13" fontId="4" numFmtId="167" xfId="0" applyAlignment="1" applyBorder="1" applyFont="1" applyNumberFormat="1">
      <alignment readingOrder="0" shrinkToFit="0" wrapText="1"/>
    </xf>
    <xf borderId="0" fillId="13" fontId="28" numFmtId="0" xfId="0" applyAlignment="1" applyFont="1">
      <alignment readingOrder="0" shrinkToFit="0" vertical="top" wrapText="1"/>
    </xf>
    <xf borderId="0" fillId="0" fontId="40" numFmtId="0" xfId="0" applyAlignment="1" applyFont="1">
      <alignment shrinkToFit="0" vertical="bottom" wrapText="1"/>
    </xf>
    <xf borderId="2" fillId="23" fontId="41" numFmtId="0" xfId="0" applyAlignment="1" applyBorder="1" applyFill="1" applyFont="1">
      <alignment readingOrder="0" shrinkToFit="0" vertical="center" wrapText="1"/>
    </xf>
    <xf borderId="2" fillId="23" fontId="12" numFmtId="0" xfId="0" applyAlignment="1" applyBorder="1" applyFont="1">
      <alignment readingOrder="0" shrinkToFit="0" vertical="center" wrapText="1"/>
    </xf>
    <xf borderId="2" fillId="23" fontId="7" numFmtId="0" xfId="0" applyAlignment="1" applyBorder="1" applyFont="1">
      <alignment readingOrder="0" shrinkToFit="0" vertical="center" wrapText="1"/>
    </xf>
    <xf borderId="3" fillId="0" fontId="11" numFmtId="0" xfId="0" applyAlignment="1" applyBorder="1" applyFont="1">
      <alignment readingOrder="0" shrinkToFit="0" vertical="center" wrapText="1"/>
    </xf>
    <xf borderId="0" fillId="14" fontId="42" numFmtId="0" xfId="0" applyAlignment="1" applyFont="1">
      <alignment readingOrder="0" shrinkToFit="0" wrapText="0"/>
    </xf>
    <xf borderId="0" fillId="14" fontId="43" numFmtId="0" xfId="0" applyAlignment="1" applyFont="1">
      <alignment shrinkToFit="0" wrapText="1"/>
    </xf>
    <xf borderId="0" fillId="14" fontId="43" numFmtId="0" xfId="0" applyAlignment="1" applyFont="1">
      <alignment readingOrder="0" shrinkToFit="0" wrapText="1"/>
    </xf>
    <xf borderId="0" fillId="14" fontId="44" numFmtId="0" xfId="0" applyAlignment="1" applyFont="1">
      <alignment readingOrder="0" shrinkToFit="0" wrapText="1"/>
    </xf>
    <xf borderId="0" fillId="0" fontId="27" numFmtId="0" xfId="0" applyAlignment="1" applyFont="1">
      <alignment shrinkToFit="0" vertical="bottom" wrapText="1"/>
    </xf>
    <xf borderId="0" fillId="24" fontId="45" numFmtId="0" xfId="0" applyAlignment="1" applyFill="1" applyFont="1">
      <alignment readingOrder="0" shrinkToFit="0" wrapText="1"/>
    </xf>
    <xf borderId="0" fillId="24" fontId="45" numFmtId="0" xfId="0" applyAlignment="1" applyFont="1">
      <alignment readingOrder="0" shrinkToFit="0" vertical="bottom" wrapText="1"/>
    </xf>
    <xf borderId="0" fillId="0" fontId="4" numFmtId="14" xfId="0" applyAlignment="1" applyFont="1" applyNumberFormat="1">
      <alignment shrinkToFit="0" wrapText="1"/>
    </xf>
    <xf borderId="0" fillId="0" fontId="46" numFmtId="0" xfId="0" applyAlignment="1" applyFont="1">
      <alignment shrinkToFit="0" wrapText="1"/>
    </xf>
    <xf borderId="0" fillId="0" fontId="4" numFmtId="169" xfId="0" applyAlignment="1" applyFont="1" applyNumberFormat="1">
      <alignment readingOrder="0" shrinkToFit="0" wrapText="1"/>
    </xf>
    <xf borderId="0" fillId="0" fontId="4" numFmtId="168" xfId="0" applyAlignment="1" applyFont="1" applyNumberFormat="1">
      <alignment shrinkToFit="0" wrapText="1"/>
    </xf>
    <xf borderId="0" fillId="14" fontId="47" numFmtId="0" xfId="0" applyAlignment="1" applyFont="1">
      <alignment readingOrder="0" shrinkToFit="0" wrapText="1"/>
    </xf>
    <xf borderId="0" fillId="14" fontId="10" numFmtId="0" xfId="0" applyAlignment="1" applyFont="1">
      <alignment shrinkToFit="0" wrapText="1"/>
    </xf>
    <xf borderId="0" fillId="2" fontId="31" numFmtId="0" xfId="0" applyAlignment="1" applyFont="1">
      <alignment readingOrder="0" shrinkToFit="0" wrapText="1"/>
    </xf>
    <xf borderId="0" fillId="2" fontId="31" numFmtId="0" xfId="0" applyAlignment="1" applyFont="1">
      <alignment shrinkToFit="0" wrapText="1"/>
    </xf>
    <xf borderId="0" fillId="0" fontId="48" numFmtId="0" xfId="0" applyAlignment="1" applyFont="1">
      <alignment horizontal="center" shrinkToFit="0" vertical="bottom" wrapText="1"/>
    </xf>
    <xf borderId="0" fillId="2" fontId="16" numFmtId="0" xfId="0" applyAlignment="1" applyFont="1">
      <alignment shrinkToFit="0" wrapText="1"/>
    </xf>
    <xf borderId="0" fillId="2" fontId="16" numFmtId="0" xfId="0" applyAlignment="1" applyFont="1">
      <alignment readingOrder="0" shrinkToFit="0" wrapText="1"/>
    </xf>
    <xf borderId="0" fillId="0" fontId="27" numFmtId="164" xfId="0" applyAlignment="1" applyFont="1" applyNumberFormat="1">
      <alignment shrinkToFit="0" vertical="bottom" wrapText="1"/>
    </xf>
    <xf borderId="0" fillId="0" fontId="27" numFmtId="0" xfId="0" applyAlignment="1" applyFont="1">
      <alignment horizontal="right" shrinkToFit="0" vertical="bottom" wrapText="1"/>
    </xf>
    <xf borderId="0" fillId="0" fontId="27" numFmtId="0" xfId="0" applyAlignment="1" applyFont="1">
      <alignment horizontal="center" shrinkToFit="0" vertical="bottom" wrapText="1"/>
    </xf>
    <xf borderId="0" fillId="0" fontId="27" numFmtId="165" xfId="0" applyAlignment="1" applyFont="1" applyNumberFormat="1">
      <alignment shrinkToFit="0" vertical="bottom" wrapText="1"/>
    </xf>
    <xf borderId="0" fillId="0" fontId="27" numFmtId="167" xfId="0" applyAlignment="1" applyFont="1" applyNumberFormat="1">
      <alignment shrinkToFit="0" vertical="bottom" wrapText="1"/>
    </xf>
    <xf borderId="0" fillId="0" fontId="28" numFmtId="0" xfId="0" applyAlignment="1" applyFont="1">
      <alignment shrinkToFit="0" vertical="center" wrapText="1"/>
    </xf>
    <xf borderId="0" fillId="2" fontId="23" numFmtId="0" xfId="0" applyAlignment="1" applyFont="1">
      <alignment shrinkToFit="0" wrapText="1"/>
    </xf>
    <xf borderId="0" fillId="2" fontId="23" numFmtId="0" xfId="0" applyAlignment="1" applyFont="1">
      <alignment horizontal="right" shrinkToFit="0" wrapText="1"/>
    </xf>
    <xf borderId="0" fillId="2" fontId="49" numFmtId="0" xfId="0" applyAlignment="1" applyFont="1">
      <alignment horizontal="center" shrinkToFit="0" vertical="bottom" wrapText="1"/>
    </xf>
    <xf borderId="0" fillId="2" fontId="23" numFmtId="0" xfId="0" applyAlignment="1" applyFont="1">
      <alignment horizontal="center" shrinkToFit="0" wrapText="1"/>
    </xf>
    <xf borderId="0" fillId="2" fontId="32" numFmtId="0" xfId="0" applyAlignment="1" applyFont="1">
      <alignment shrinkToFit="0" wrapText="1"/>
    </xf>
    <xf borderId="5" fillId="25" fontId="50" numFmtId="0" xfId="0" applyAlignment="1" applyBorder="1" applyFill="1" applyFont="1">
      <alignment readingOrder="0" shrinkToFit="0" vertical="top" wrapText="1"/>
    </xf>
    <xf borderId="0" fillId="0" fontId="20" numFmtId="0" xfId="0" applyAlignment="1" applyFont="1">
      <alignment readingOrder="0" shrinkToFit="0" wrapText="1"/>
    </xf>
    <xf borderId="5" fillId="26" fontId="50" numFmtId="170" xfId="0" applyAlignment="1" applyBorder="1" applyFill="1" applyFont="1" applyNumberFormat="1">
      <alignment readingOrder="0" shrinkToFit="0" vertical="top" wrapText="1"/>
    </xf>
    <xf borderId="5" fillId="0" fontId="51" numFmtId="170" xfId="0" applyAlignment="1" applyBorder="1" applyFont="1" applyNumberFormat="1">
      <alignment readingOrder="0" shrinkToFit="0" vertical="top" wrapText="1"/>
    </xf>
    <xf borderId="5" fillId="0" fontId="51" numFmtId="0" xfId="0" applyAlignment="1" applyBorder="1" applyFont="1">
      <alignment readingOrder="0" shrinkToFit="0" vertical="top" wrapText="1"/>
    </xf>
    <xf borderId="5" fillId="0" fontId="4" numFmtId="0" xfId="0" applyAlignment="1" applyBorder="1" applyFont="1">
      <alignment readingOrder="0" shrinkToFit="0" wrapText="1"/>
    </xf>
    <xf borderId="5" fillId="0" fontId="28" numFmtId="0" xfId="0" applyAlignment="1" applyBorder="1" applyFont="1">
      <alignment readingOrder="0" shrinkToFit="0" wrapText="1"/>
    </xf>
    <xf borderId="5" fillId="0" fontId="4" numFmtId="0" xfId="0" applyAlignment="1" applyBorder="1" applyFont="1">
      <alignment shrinkToFit="0" wrapText="1"/>
    </xf>
    <xf borderId="5" fillId="0" fontId="52" numFmtId="0" xfId="0" applyAlignment="1" applyBorder="1" applyFont="1">
      <alignment readingOrder="0" shrinkToFit="0" vertical="top" wrapText="1"/>
    </xf>
    <xf borderId="5" fillId="0" fontId="4" numFmtId="0" xfId="0" applyAlignment="1" applyBorder="1" applyFont="1">
      <alignment shrinkToFit="0" vertical="top" wrapText="1"/>
    </xf>
    <xf borderId="5" fillId="2" fontId="53" numFmtId="0" xfId="0" applyAlignment="1" applyBorder="1" applyFont="1">
      <alignment readingOrder="0" shrinkToFit="0" vertical="top" wrapText="1"/>
    </xf>
    <xf borderId="0" fillId="2" fontId="54" numFmtId="0" xfId="0" applyAlignment="1" applyFont="1">
      <alignment readingOrder="0" shrinkToFit="0" wrapText="1"/>
    </xf>
    <xf borderId="0" fillId="0" fontId="50" numFmtId="0" xfId="0" applyAlignment="1" applyFont="1">
      <alignment readingOrder="0" shrinkToFit="0" vertical="top" wrapText="1"/>
    </xf>
    <xf borderId="0" fillId="0" fontId="2" numFmtId="0" xfId="0" applyAlignment="1" applyFont="1">
      <alignment readingOrder="0" shrinkToFit="0" wrapText="1"/>
    </xf>
    <xf borderId="5" fillId="0" fontId="51" numFmtId="169" xfId="0" applyAlignment="1" applyBorder="1" applyFont="1" applyNumberFormat="1">
      <alignment readingOrder="0" shrinkToFit="0" vertical="top" wrapText="1"/>
    </xf>
    <xf borderId="5" fillId="0" fontId="55" numFmtId="0" xfId="0" applyAlignment="1" applyBorder="1" applyFont="1">
      <alignment shrinkToFit="0" vertical="top" wrapText="1"/>
    </xf>
    <xf borderId="5" fillId="0" fontId="55" numFmtId="0" xfId="0" applyAlignment="1" applyBorder="1" applyFont="1">
      <alignment readingOrder="0" shrinkToFit="0" vertical="top" wrapText="1"/>
    </xf>
    <xf borderId="5" fillId="0" fontId="56" numFmtId="0" xfId="0" applyAlignment="1" applyBorder="1" applyFont="1">
      <alignment readingOrder="0" shrinkToFit="0" wrapText="1"/>
    </xf>
    <xf borderId="0" fillId="0" fontId="57" numFmtId="0" xfId="0" applyAlignment="1" applyFont="1">
      <alignment readingOrder="0" shrinkToFit="0" wrapText="1"/>
    </xf>
    <xf borderId="5" fillId="0" fontId="58" numFmtId="0" xfId="0" applyAlignment="1" applyBorder="1" applyFont="1">
      <alignment readingOrder="0" shrinkToFit="0" vertical="top" wrapText="1"/>
    </xf>
    <xf borderId="5" fillId="0" fontId="51" numFmtId="171" xfId="0" applyAlignment="1" applyBorder="1" applyFont="1" applyNumberFormat="1">
      <alignment readingOrder="0" shrinkToFit="0" vertical="top" wrapText="1"/>
    </xf>
    <xf borderId="5" fillId="0" fontId="51" numFmtId="168" xfId="0" applyAlignment="1" applyBorder="1" applyFont="1" applyNumberFormat="1">
      <alignment readingOrder="0" shrinkToFit="0" vertical="top" wrapText="1"/>
    </xf>
    <xf borderId="0" fillId="0" fontId="59" numFmtId="0" xfId="0" applyAlignment="1" applyFont="1">
      <alignment readingOrder="0" shrinkToFit="0" vertical="top" wrapText="1"/>
    </xf>
    <xf borderId="0" fillId="0" fontId="55" numFmtId="0" xfId="0" applyAlignment="1" applyFont="1">
      <alignment shrinkToFit="0" wrapText="1"/>
    </xf>
    <xf borderId="5" fillId="0" fontId="56" numFmtId="0" xfId="0" applyAlignment="1" applyBorder="1" applyFont="1">
      <alignment shrinkToFit="0" wrapText="1"/>
    </xf>
    <xf borderId="5" fillId="0" fontId="60" numFmtId="0" xfId="0" applyAlignment="1" applyBorder="1" applyFont="1">
      <alignment readingOrder="0" shrinkToFit="0" vertical="top" wrapText="1"/>
    </xf>
    <xf borderId="0" fillId="24" fontId="61" numFmtId="0" xfId="0" applyAlignment="1" applyFont="1">
      <alignment readingOrder="0" shrinkToFit="0" vertical="bottom" wrapText="1"/>
    </xf>
    <xf borderId="0" fillId="0" fontId="4" numFmtId="14" xfId="0" applyAlignment="1" applyFont="1" applyNumberFormat="1">
      <alignment readingOrder="0" shrinkToFit="0" wrapText="1"/>
    </xf>
    <xf borderId="0" fillId="0" fontId="4" numFmtId="172" xfId="0" applyAlignment="1" applyFont="1" applyNumberFormat="1">
      <alignment readingOrder="0" shrinkToFit="0" wrapText="1"/>
    </xf>
    <xf borderId="0" fillId="0" fontId="30" numFmtId="0" xfId="0" applyAlignment="1" applyFont="1">
      <alignment shrinkToFit="0" wrapText="1"/>
    </xf>
    <xf borderId="5" fillId="0" fontId="57" numFmtId="0" xfId="0" applyAlignment="1" applyBorder="1" applyFont="1">
      <alignment readingOrder="0" shrinkToFit="0" wrapText="1"/>
    </xf>
    <xf borderId="5" fillId="0" fontId="59" numFmtId="0" xfId="0" applyAlignment="1" applyBorder="1" applyFont="1">
      <alignment readingOrder="0" shrinkToFit="0" vertical="top" wrapText="1"/>
    </xf>
    <xf borderId="5" fillId="0" fontId="62" numFmtId="0" xfId="0" applyAlignment="1" applyBorder="1" applyFont="1">
      <alignment readingOrder="0" shrinkToFit="0" wrapText="1"/>
    </xf>
    <xf borderId="5" fillId="0" fontId="30" numFmtId="0" xfId="0" applyAlignment="1" applyBorder="1" applyFont="1">
      <alignment readingOrder="0" shrinkToFit="0" wrapText="1"/>
    </xf>
    <xf borderId="0" fillId="2" fontId="63" numFmtId="0" xfId="0" applyAlignment="1" applyFont="1">
      <alignment horizontal="left" shrinkToFit="0" vertical="center" wrapText="1"/>
    </xf>
    <xf borderId="0" fillId="2" fontId="27" numFmtId="0" xfId="0" applyAlignment="1" applyFont="1">
      <alignment shrinkToFit="0" wrapText="1"/>
    </xf>
    <xf borderId="0" fillId="0" fontId="27" numFmtId="0" xfId="0" applyAlignment="1" applyFont="1">
      <alignment shrinkToFit="0" wrapText="1"/>
    </xf>
    <xf borderId="0" fillId="0" fontId="26" numFmtId="0" xfId="0" applyAlignment="1" applyFont="1">
      <alignment horizontal="center" shrinkToFit="0" vertical="bottom" wrapText="1"/>
    </xf>
    <xf borderId="0" fillId="0" fontId="3" numFmtId="49" xfId="0" applyAlignment="1" applyFont="1" applyNumberFormat="1">
      <alignment shrinkToFit="0" vertical="bottom" wrapText="1"/>
    </xf>
    <xf borderId="0" fillId="0" fontId="3" numFmtId="167" xfId="0" applyAlignment="1" applyFont="1" applyNumberFormat="1">
      <alignment shrinkToFit="0" vertical="top" wrapText="1"/>
    </xf>
    <xf borderId="0" fillId="0" fontId="3" numFmtId="166" xfId="0" applyAlignment="1" applyFont="1" applyNumberFormat="1">
      <alignment shrinkToFit="0" vertical="top" wrapText="1"/>
    </xf>
    <xf borderId="0" fillId="0" fontId="26" numFmtId="166" xfId="0" applyAlignment="1" applyFont="1" applyNumberFormat="1">
      <alignment shrinkToFit="0" vertical="top" wrapText="1"/>
    </xf>
    <xf borderId="0" fillId="0" fontId="27" numFmtId="166" xfId="0" applyAlignment="1" applyFont="1" applyNumberFormat="1">
      <alignment shrinkToFit="0" vertical="bottom" wrapText="1"/>
    </xf>
    <xf borderId="0" fillId="0" fontId="3" numFmtId="0" xfId="0" applyAlignment="1" applyFont="1">
      <alignment shrinkToFit="0" vertical="top" wrapText="1"/>
    </xf>
    <xf borderId="0" fillId="0" fontId="26" numFmtId="0" xfId="0" applyAlignment="1" applyFont="1">
      <alignment shrinkToFit="0" vertical="top" wrapText="1"/>
    </xf>
    <xf borderId="0" fillId="0" fontId="3" numFmtId="167" xfId="0" applyAlignment="1" applyFont="1" applyNumberFormat="1">
      <alignment shrinkToFit="0" vertical="top" wrapText="1"/>
    </xf>
    <xf borderId="0" fillId="12" fontId="13" numFmtId="0" xfId="0" applyAlignment="1" applyFont="1">
      <alignment readingOrder="0" shrinkToFit="0" wrapText="1"/>
    </xf>
    <xf borderId="0" fillId="0" fontId="20" numFmtId="0" xfId="0" applyAlignment="1" applyFont="1">
      <alignment readingOrder="0" shrinkToFit="0" vertical="center" wrapText="1"/>
    </xf>
    <xf borderId="0" fillId="0" fontId="20" numFmtId="0" xfId="0" applyAlignment="1" applyFont="1">
      <alignment shrinkToFit="0" vertical="center" wrapText="1"/>
    </xf>
    <xf borderId="0" fillId="0" fontId="21" numFmtId="0" xfId="0" applyAlignment="1" applyFont="1">
      <alignment shrinkToFit="0" wrapText="1"/>
    </xf>
  </cellXfs>
  <cellStyles count="1">
    <cellStyle xfId="0" name="Normal" builtinId="0"/>
  </cellStyles>
  <dxfs count="4">
    <dxf>
      <font/>
      <fill>
        <patternFill patternType="solid">
          <fgColor rgb="FF93C47D"/>
          <bgColor rgb="FF93C47D"/>
        </patternFill>
      </fill>
      <border/>
    </dxf>
    <dxf>
      <font/>
      <fill>
        <patternFill patternType="solid">
          <fgColor rgb="FFE06666"/>
          <bgColor rgb="FFE06666"/>
        </patternFill>
      </fill>
      <border/>
    </dxf>
    <dxf>
      <font/>
      <fill>
        <patternFill patternType="solid">
          <fgColor rgb="FFB7E1CD"/>
          <bgColor rgb="FFB7E1CD"/>
        </patternFill>
      </fill>
      <border/>
    </dxf>
    <dxf>
      <font/>
      <fill>
        <patternFill patternType="solid">
          <fgColor rgb="FFEA9999"/>
          <bgColor rgb="FFEA9999"/>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hyperlink" Target="http://stimsonphoto.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apple.com/BILL" TargetMode="External"/><Relationship Id="rId2" Type="http://schemas.openxmlformats.org/officeDocument/2006/relationships/hyperlink" Target="http://apple.com/BILL" TargetMode="External"/><Relationship Id="rId3" Type="http://schemas.openxmlformats.org/officeDocument/2006/relationships/hyperlink" Target="http://apple.com/BILL" TargetMode="External"/><Relationship Id="rId4" Type="http://schemas.openxmlformats.org/officeDocument/2006/relationships/hyperlink" Target="http://apple.com/BILL"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apple.com/BILL" TargetMode="External"/><Relationship Id="rId2" Type="http://schemas.openxmlformats.org/officeDocument/2006/relationships/hyperlink" Target="http://apple.com/BILL" TargetMode="External"/><Relationship Id="rId3" Type="http://schemas.openxmlformats.org/officeDocument/2006/relationships/hyperlink" Target="http://apple.com/BILL" TargetMode="External"/><Relationship Id="rId4" Type="http://schemas.openxmlformats.org/officeDocument/2006/relationships/hyperlink" Target="http://apple.com/BILL" TargetMode="Externa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38.38"/>
    <col customWidth="1" min="2" max="2" width="28.38"/>
    <col customWidth="1" min="3" max="3" width="38.38"/>
    <col customWidth="1" min="4" max="4" width="14.13"/>
    <col customWidth="1" min="5" max="5" width="14.25"/>
    <col customWidth="1" min="6" max="6" width="14.0"/>
    <col customWidth="1" min="7" max="9" width="13.63"/>
    <col customWidth="1" min="10" max="10" width="23.63"/>
    <col customWidth="1" min="11" max="11" width="28.5"/>
    <col customWidth="1" min="12" max="12" width="28.88"/>
    <col customWidth="1" min="13" max="15" width="13.63"/>
  </cols>
  <sheetData>
    <row r="1" ht="23.25" customHeight="1">
      <c r="A1" s="1" t="s">
        <v>0</v>
      </c>
      <c r="C1" s="2" t="s">
        <v>1</v>
      </c>
      <c r="D1" s="3"/>
      <c r="E1" s="4"/>
      <c r="F1" s="4"/>
      <c r="G1" s="4"/>
      <c r="H1" s="4"/>
      <c r="I1" s="4"/>
      <c r="J1" s="5" t="str">
        <f>IFERROR(__xludf.DUMMYFUNCTION("QUERY(
  FILTER(
    {TRIM(CLEAN(D2:D170)), VALUE(B2:B170)},
    TRIM(CLEAN(D2:D170))&lt;&gt;"""",
    ISNUMBER(B2:B170)
  ),
  ""select Col1, sum(Col2)
   group by Col1
   label Col1 'Budget Categories', sum(Col2) 'Monthly Budget Totals'"",
  0
)"),"Budget Categories")</f>
        <v>Budget Categories</v>
      </c>
      <c r="K1" s="5" t="str">
        <f>IFERROR(__xludf.DUMMYFUNCTION("""COMPUTED_VALUE"""),"Monthly Budget Totals")</f>
        <v>Monthly Budget Totals</v>
      </c>
      <c r="L1" s="6"/>
      <c r="M1" s="4"/>
      <c r="N1" s="4"/>
      <c r="O1" s="4"/>
    </row>
    <row r="2">
      <c r="A2" s="7" t="s">
        <v>2</v>
      </c>
      <c r="C2" s="8">
        <v>46151.0</v>
      </c>
      <c r="D2" s="9"/>
      <c r="E2" s="10"/>
      <c r="F2" s="10"/>
      <c r="G2" s="10"/>
      <c r="H2" s="10"/>
      <c r="I2" s="10"/>
      <c r="J2" s="11" t="str">
        <f>IFERROR(__xludf.DUMMYFUNCTION("""COMPUTED_VALUE"""),"AI Fees")</f>
        <v>AI Fees</v>
      </c>
      <c r="K2" s="12">
        <f>IFERROR(__xludf.DUMMYFUNCTION("""COMPUTED_VALUE"""),10.0)</f>
        <v>10</v>
      </c>
      <c r="L2" s="11"/>
      <c r="M2" s="10"/>
      <c r="N2" s="10"/>
      <c r="O2" s="10"/>
    </row>
    <row r="3">
      <c r="A3" s="13" t="s">
        <v>3</v>
      </c>
      <c r="B3" s="14"/>
      <c r="C3" s="15"/>
      <c r="D3" s="16"/>
      <c r="E3" s="17"/>
      <c r="F3" s="17"/>
      <c r="G3" s="17"/>
      <c r="H3" s="17"/>
      <c r="I3" s="17"/>
      <c r="J3" s="18" t="str">
        <f>IFERROR(__xludf.DUMMYFUNCTION("""COMPUTED_VALUE"""),"Bar/ Alcohol")</f>
        <v>Bar/ Alcohol</v>
      </c>
      <c r="K3" s="12">
        <f>IFERROR(__xludf.DUMMYFUNCTION("""COMPUTED_VALUE"""),100.0)</f>
        <v>100</v>
      </c>
      <c r="L3" s="18"/>
      <c r="M3" s="17"/>
      <c r="N3" s="17"/>
      <c r="O3" s="17"/>
    </row>
    <row r="4">
      <c r="A4" s="19" t="s">
        <v>4</v>
      </c>
      <c r="B4" s="20"/>
      <c r="C4" s="15"/>
      <c r="D4" s="16"/>
      <c r="E4" s="17"/>
      <c r="F4" s="17"/>
      <c r="G4" s="17"/>
      <c r="H4" s="17"/>
      <c r="I4" s="17"/>
      <c r="J4" s="18" t="str">
        <f>IFERROR(__xludf.DUMMYFUNCTION("""COMPUTED_VALUE"""),"Business Expenses")</f>
        <v>Business Expenses</v>
      </c>
      <c r="K4" s="6">
        <f>IFERROR(__xludf.DUMMYFUNCTION("""COMPUTED_VALUE"""),84.0)</f>
        <v>84</v>
      </c>
      <c r="L4" s="18"/>
      <c r="M4" s="17"/>
      <c r="N4" s="17"/>
      <c r="O4" s="17"/>
    </row>
    <row r="5">
      <c r="A5" s="21" t="s">
        <v>5</v>
      </c>
      <c r="B5" s="22"/>
      <c r="C5" s="8"/>
      <c r="D5" s="9"/>
      <c r="E5" s="10"/>
      <c r="F5" s="10"/>
      <c r="G5" s="10"/>
      <c r="H5" s="10"/>
      <c r="I5" s="10"/>
      <c r="J5" s="11" t="str">
        <f>IFERROR(__xludf.DUMMYFUNCTION("""COMPUTED_VALUE"""),"Coffee")</f>
        <v>Coffee</v>
      </c>
      <c r="K5" s="6">
        <f>IFERROR(__xludf.DUMMYFUNCTION("""COMPUTED_VALUE"""),84.0)</f>
        <v>84</v>
      </c>
      <c r="L5" s="11"/>
      <c r="M5" s="10"/>
      <c r="N5" s="10"/>
      <c r="O5" s="10"/>
    </row>
    <row r="6">
      <c r="A6" s="23" t="s">
        <v>6</v>
      </c>
      <c r="B6" s="24"/>
      <c r="C6" s="25"/>
      <c r="D6" s="26"/>
      <c r="J6" s="12" t="str">
        <f>IFERROR(__xludf.DUMMYFUNCTION("""COMPUTED_VALUE"""),"Dining")</f>
        <v>Dining</v>
      </c>
      <c r="K6" s="12">
        <f>IFERROR(__xludf.DUMMYFUNCTION("""COMPUTED_VALUE"""),320.0)</f>
        <v>320</v>
      </c>
      <c r="L6" s="12"/>
    </row>
    <row r="7">
      <c r="A7" s="27"/>
      <c r="D7" s="26"/>
      <c r="J7" s="12" t="str">
        <f>IFERROR(__xludf.DUMMYFUNCTION("""COMPUTED_VALUE"""),"Entertainment")</f>
        <v>Entertainment</v>
      </c>
      <c r="K7" s="12">
        <f>IFERROR(__xludf.DUMMYFUNCTION("""COMPUTED_VALUE"""),47.5)</f>
        <v>47.5</v>
      </c>
      <c r="L7" s="12"/>
    </row>
    <row r="8">
      <c r="A8" s="28"/>
      <c r="B8" s="28"/>
      <c r="C8" s="29" t="s">
        <v>7</v>
      </c>
      <c r="D8" s="3"/>
      <c r="E8" s="4"/>
      <c r="F8" s="4"/>
      <c r="G8" s="4"/>
      <c r="H8" s="4"/>
      <c r="I8" s="4"/>
      <c r="J8" s="6" t="str">
        <f>IFERROR(__xludf.DUMMYFUNCTION("""COMPUTED_VALUE"""),"Groceries")</f>
        <v>Groceries</v>
      </c>
      <c r="K8" s="6">
        <f>IFERROR(__xludf.DUMMYFUNCTION("""COMPUTED_VALUE"""),500.0)</f>
        <v>500</v>
      </c>
      <c r="L8" s="6"/>
      <c r="M8" s="4"/>
      <c r="N8" s="4"/>
      <c r="O8" s="4"/>
    </row>
    <row r="9" ht="21.0" customHeight="1">
      <c r="A9" s="30" t="s">
        <v>8</v>
      </c>
      <c r="B9" s="31"/>
      <c r="C9" s="32"/>
      <c r="D9" s="3"/>
      <c r="E9" s="30" t="s">
        <v>9</v>
      </c>
      <c r="F9" s="32"/>
      <c r="G9" s="33"/>
      <c r="H9" s="33"/>
      <c r="I9" s="34"/>
      <c r="J9" s="35" t="str">
        <f>IFERROR(__xludf.DUMMYFUNCTION("""COMPUTED_VALUE"""),"Insurance")</f>
        <v>Insurance</v>
      </c>
      <c r="K9" s="36">
        <f>IFERROR(__xludf.DUMMYFUNCTION("""COMPUTED_VALUE"""),23.0)</f>
        <v>23</v>
      </c>
      <c r="L9" s="12"/>
    </row>
    <row r="10" ht="25.5" customHeight="1">
      <c r="A10" s="37" t="s">
        <v>10</v>
      </c>
      <c r="B10" s="32"/>
      <c r="C10" s="38"/>
      <c r="D10" s="26"/>
      <c r="E10" s="39" t="s">
        <v>11</v>
      </c>
      <c r="F10" s="40">
        <f t="shared" ref="F10:F16" si="1">G10/12</f>
        <v>5575</v>
      </c>
      <c r="G10" s="40">
        <f>sum(C13:C16)</f>
        <v>66900</v>
      </c>
      <c r="H10" s="41"/>
      <c r="I10" s="42"/>
      <c r="J10" s="43" t="str">
        <f>IFERROR(__xludf.DUMMYFUNCTION("""COMPUTED_VALUE"""),"Misc")</f>
        <v>Misc</v>
      </c>
      <c r="K10" s="43">
        <f>IFERROR(__xludf.DUMMYFUNCTION("""COMPUTED_VALUE"""),30.0)</f>
        <v>30</v>
      </c>
      <c r="L10" s="35"/>
      <c r="M10" s="41"/>
      <c r="N10" s="41"/>
      <c r="O10" s="41"/>
    </row>
    <row r="11" ht="33.75" customHeight="1">
      <c r="A11" s="44"/>
      <c r="B11" s="45"/>
      <c r="C11" s="46"/>
      <c r="D11" s="3"/>
      <c r="E11" s="47" t="s">
        <v>12</v>
      </c>
      <c r="F11" s="48">
        <f t="shared" si="1"/>
        <v>4644.436667</v>
      </c>
      <c r="G11" s="48">
        <f>C34</f>
        <v>55733.24</v>
      </c>
      <c r="H11" s="48"/>
      <c r="I11" s="42"/>
      <c r="J11" s="43" t="str">
        <f>IFERROR(__xludf.DUMMYFUNCTION("""COMPUTED_VALUE"""),"Other Services")</f>
        <v>Other Services</v>
      </c>
      <c r="K11" s="43">
        <f>IFERROR(__xludf.DUMMYFUNCTION("""COMPUTED_VALUE"""),18.0)</f>
        <v>18</v>
      </c>
      <c r="L11" s="49"/>
      <c r="M11" s="48"/>
      <c r="N11" s="48"/>
      <c r="O11" s="48"/>
    </row>
    <row r="12" ht="33.75" customHeight="1">
      <c r="A12" s="44" t="s">
        <v>13</v>
      </c>
      <c r="B12" s="45"/>
      <c r="C12" s="46" t="s">
        <v>14</v>
      </c>
      <c r="D12" s="3"/>
      <c r="E12" s="50" t="s">
        <v>15</v>
      </c>
      <c r="F12" s="48">
        <f t="shared" si="1"/>
        <v>2609</v>
      </c>
      <c r="G12" s="48">
        <f>C68</f>
        <v>31308</v>
      </c>
      <c r="H12" s="48"/>
      <c r="I12" s="51"/>
      <c r="J12" s="49" t="str">
        <f>IFERROR(__xludf.DUMMYFUNCTION("""COMPUTED_VALUE"""),"Rent")</f>
        <v>Rent</v>
      </c>
      <c r="K12" s="43">
        <f>IFERROR(__xludf.DUMMYFUNCTION("""COMPUTED_VALUE"""),1327.0)</f>
        <v>1327</v>
      </c>
      <c r="L12" s="49"/>
      <c r="M12" s="48"/>
      <c r="N12" s="48"/>
      <c r="O12" s="48"/>
    </row>
    <row r="13" ht="15.75" customHeight="1">
      <c r="A13" s="52" t="s">
        <v>16</v>
      </c>
      <c r="B13" s="53" t="s">
        <v>17</v>
      </c>
      <c r="C13" s="54">
        <v>42000.0</v>
      </c>
      <c r="D13" s="55"/>
      <c r="E13" s="56" t="s">
        <v>18</v>
      </c>
      <c r="F13" s="48">
        <f t="shared" si="1"/>
        <v>815.5</v>
      </c>
      <c r="G13" s="48">
        <f>C83</f>
        <v>9786</v>
      </c>
      <c r="H13" s="48"/>
      <c r="I13" s="51"/>
      <c r="J13" s="49" t="str">
        <f>IFERROR(__xludf.DUMMYFUNCTION("""COMPUTED_VALUE"""),"Shopping")</f>
        <v>Shopping</v>
      </c>
      <c r="K13" s="43">
        <f>IFERROR(__xludf.DUMMYFUNCTION("""COMPUTED_VALUE"""),97.0)</f>
        <v>97</v>
      </c>
      <c r="L13" s="49"/>
      <c r="M13" s="48"/>
      <c r="N13" s="48"/>
      <c r="O13" s="48"/>
    </row>
    <row r="14" ht="31.5" customHeight="1">
      <c r="A14" s="52" t="s">
        <v>19</v>
      </c>
      <c r="B14" s="53" t="s">
        <v>20</v>
      </c>
      <c r="C14" s="57">
        <v>24000.0</v>
      </c>
      <c r="D14" s="55"/>
      <c r="E14" s="58" t="s">
        <v>21</v>
      </c>
      <c r="F14" s="59">
        <f t="shared" si="1"/>
        <v>1219.936667</v>
      </c>
      <c r="G14" s="59">
        <f t="shared" ref="G14:G15" si="2">C100</f>
        <v>14639.24</v>
      </c>
      <c r="H14" s="59"/>
      <c r="I14" s="51"/>
      <c r="J14" s="60" t="str">
        <f>IFERROR(__xludf.DUMMYFUNCTION("""COMPUTED_VALUE"""),"Subscriptions")</f>
        <v>Subscriptions</v>
      </c>
      <c r="K14" s="61">
        <f>IFERROR(__xludf.DUMMYFUNCTION("""COMPUTED_VALUE"""),132.0)</f>
        <v>132</v>
      </c>
      <c r="L14" s="62"/>
      <c r="M14" s="59"/>
      <c r="N14" s="59"/>
      <c r="O14" s="59"/>
    </row>
    <row r="15" ht="30.0" customHeight="1">
      <c r="A15" s="52" t="s">
        <v>22</v>
      </c>
      <c r="B15" s="53" t="s">
        <v>23</v>
      </c>
      <c r="C15" s="57">
        <v>900.0</v>
      </c>
      <c r="D15" s="55"/>
      <c r="E15" s="63" t="s">
        <v>24</v>
      </c>
      <c r="F15" s="59">
        <f t="shared" si="1"/>
        <v>1835.936667</v>
      </c>
      <c r="G15" s="59">
        <f t="shared" si="2"/>
        <v>22031.24</v>
      </c>
      <c r="H15" s="59"/>
      <c r="I15" s="51"/>
      <c r="J15" s="60" t="str">
        <f>IFERROR(__xludf.DUMMYFUNCTION("""COMPUTED_VALUE"""),"Transportation")</f>
        <v>Transportation</v>
      </c>
      <c r="K15" s="61">
        <f>IFERROR(__xludf.DUMMYFUNCTION("""COMPUTED_VALUE"""),25.0)</f>
        <v>25</v>
      </c>
      <c r="L15" s="62"/>
      <c r="M15" s="59"/>
      <c r="N15" s="59"/>
      <c r="O15" s="59"/>
    </row>
    <row r="16" ht="15.75" customHeight="1">
      <c r="A16" s="52" t="s">
        <v>25</v>
      </c>
      <c r="B16" s="53"/>
      <c r="C16" s="57">
        <v>0.0</v>
      </c>
      <c r="D16" s="55"/>
      <c r="E16" s="64" t="s">
        <v>26</v>
      </c>
      <c r="F16" s="65">
        <f t="shared" si="1"/>
        <v>83.33333333</v>
      </c>
      <c r="G16" s="65">
        <f>C19</f>
        <v>1000</v>
      </c>
      <c r="H16" s="65"/>
      <c r="I16" s="51"/>
      <c r="J16" s="66" t="str">
        <f>IFERROR(__xludf.DUMMYFUNCTION("""COMPUTED_VALUE"""),"Travel")</f>
        <v>Travel</v>
      </c>
      <c r="K16" s="61">
        <f>IFERROR(__xludf.DUMMYFUNCTION("""COMPUTED_VALUE"""),142.0)</f>
        <v>142</v>
      </c>
      <c r="L16" s="62"/>
      <c r="M16" s="65"/>
      <c r="N16" s="65"/>
      <c r="O16" s="65"/>
    </row>
    <row r="17" ht="15.75" customHeight="1">
      <c r="A17" s="52" t="s">
        <v>27</v>
      </c>
      <c r="B17" s="67"/>
      <c r="C17" s="68">
        <f>SUM(C13:C16)</f>
        <v>66900</v>
      </c>
      <c r="D17" s="26"/>
      <c r="E17" s="69" t="s">
        <v>28</v>
      </c>
      <c r="F17" s="70">
        <f>(F12+F13)*6</f>
        <v>20547</v>
      </c>
      <c r="I17" s="51"/>
      <c r="J17" s="71" t="str">
        <f>IFERROR(__xludf.DUMMYFUNCTION("""COMPUTED_VALUE"""),"Utilities")</f>
        <v>Utilities</v>
      </c>
      <c r="K17" s="61">
        <f>IFERROR(__xludf.DUMMYFUNCTION("""COMPUTED_VALUE"""),135.0)</f>
        <v>135</v>
      </c>
      <c r="L17" s="72"/>
    </row>
    <row r="18" ht="39.75" customHeight="1">
      <c r="A18" s="52"/>
      <c r="B18" s="73"/>
      <c r="C18" s="74"/>
      <c r="D18" s="75"/>
      <c r="E18" s="76" t="s">
        <v>29</v>
      </c>
      <c r="F18" s="77">
        <f>SUM(K2:K23)</f>
        <v>3074.5</v>
      </c>
      <c r="G18" s="78"/>
      <c r="H18" s="78"/>
      <c r="I18" s="51"/>
      <c r="J18" s="71"/>
      <c r="K18" s="79"/>
      <c r="L18" s="80"/>
      <c r="M18" s="78"/>
      <c r="N18" s="78"/>
      <c r="O18" s="78"/>
    </row>
    <row r="19" ht="15.75" customHeight="1">
      <c r="A19" s="52" t="s">
        <v>30</v>
      </c>
      <c r="B19" s="73"/>
      <c r="C19" s="74">
        <v>1000.0</v>
      </c>
      <c r="D19" s="75"/>
      <c r="E19" s="81" t="s">
        <v>31</v>
      </c>
      <c r="F19" s="78"/>
      <c r="G19" s="78"/>
      <c r="H19" s="78"/>
      <c r="I19" s="51"/>
      <c r="J19" s="71"/>
      <c r="K19" s="79"/>
      <c r="L19" s="82"/>
      <c r="M19" s="83"/>
      <c r="N19" s="84"/>
      <c r="O19" s="84"/>
    </row>
    <row r="20" ht="27.0" customHeight="1">
      <c r="A20" s="52" t="s">
        <v>32</v>
      </c>
      <c r="B20" s="85"/>
      <c r="C20" s="74">
        <v>0.0</v>
      </c>
      <c r="D20" s="75"/>
      <c r="E20" s="81" t="s">
        <v>33</v>
      </c>
      <c r="F20" s="81"/>
      <c r="G20" s="78"/>
      <c r="H20" s="78"/>
      <c r="I20" s="86"/>
      <c r="J20" s="87"/>
      <c r="K20" s="88"/>
      <c r="L20" s="78"/>
      <c r="M20" s="78"/>
      <c r="N20" s="78"/>
      <c r="O20" s="78"/>
    </row>
    <row r="21" ht="33.0" customHeight="1">
      <c r="A21" s="89" t="s">
        <v>34</v>
      </c>
      <c r="B21" s="90" t="s">
        <v>35</v>
      </c>
      <c r="C21" s="91">
        <f>C17 - SUM(C19:C20)</f>
        <v>65900</v>
      </c>
      <c r="D21" s="75"/>
      <c r="E21" s="78"/>
      <c r="F21" s="78"/>
      <c r="G21" s="78"/>
      <c r="H21" s="78"/>
      <c r="I21" s="51"/>
      <c r="J21" s="92"/>
      <c r="K21" s="79"/>
      <c r="L21" s="78"/>
      <c r="M21" s="78"/>
      <c r="N21" s="78"/>
      <c r="O21" s="78"/>
    </row>
    <row r="22" ht="15.75" customHeight="1">
      <c r="A22" s="52"/>
      <c r="B22" s="85"/>
      <c r="C22" s="93"/>
      <c r="D22" s="75"/>
      <c r="E22" s="78"/>
      <c r="F22" s="78"/>
      <c r="G22" s="78"/>
      <c r="H22" s="78"/>
      <c r="I22" s="51"/>
      <c r="J22" s="94"/>
      <c r="K22" s="79"/>
      <c r="L22" s="78"/>
      <c r="M22" s="78"/>
      <c r="N22" s="78"/>
      <c r="O22" s="78"/>
    </row>
    <row r="23" ht="22.5" customHeight="1">
      <c r="A23" s="52" t="s">
        <v>36</v>
      </c>
      <c r="B23" s="85"/>
      <c r="C23" s="93">
        <f> sum(C18:C20) + 15750</f>
        <v>16750</v>
      </c>
      <c r="D23" s="75"/>
      <c r="E23" s="78"/>
      <c r="F23" s="78"/>
      <c r="G23" s="78"/>
      <c r="H23" s="78"/>
      <c r="I23" s="51"/>
      <c r="J23" s="94"/>
      <c r="K23" s="79"/>
      <c r="L23" s="78"/>
      <c r="M23" s="78"/>
      <c r="N23" s="78"/>
      <c r="O23" s="78"/>
    </row>
    <row r="24" ht="26.25" customHeight="1">
      <c r="A24" s="52" t="s">
        <v>37</v>
      </c>
      <c r="B24" s="95"/>
      <c r="C24" s="96">
        <f>SUM(C19:C20) + 5706</f>
        <v>6706</v>
      </c>
      <c r="D24" s="97"/>
      <c r="E24" s="98"/>
      <c r="F24" s="98"/>
      <c r="G24" s="98"/>
      <c r="H24" s="98"/>
      <c r="I24" s="51"/>
      <c r="J24" s="94"/>
      <c r="K24" s="79"/>
      <c r="L24" s="98"/>
      <c r="M24" s="98"/>
      <c r="N24" s="98"/>
      <c r="O24" s="98"/>
    </row>
    <row r="25" ht="33.0" customHeight="1">
      <c r="A25" s="99" t="s">
        <v>38</v>
      </c>
      <c r="B25" s="100" t="s">
        <v>39</v>
      </c>
      <c r="C25" s="101">
        <f>C21-15750</f>
        <v>50150</v>
      </c>
      <c r="D25" s="97"/>
      <c r="E25" s="98"/>
      <c r="F25" s="98"/>
      <c r="G25" s="98"/>
      <c r="H25" s="98"/>
      <c r="I25" s="102"/>
      <c r="J25" s="103"/>
      <c r="K25" s="104"/>
      <c r="L25" s="98"/>
      <c r="M25" s="98"/>
      <c r="N25" s="98"/>
      <c r="O25" s="98"/>
    </row>
    <row r="26" ht="30.75" customHeight="1">
      <c r="A26" s="105" t="s">
        <v>40</v>
      </c>
      <c r="B26" s="90" t="s">
        <v>41</v>
      </c>
      <c r="C26" s="106">
        <f>C21-5706</f>
        <v>60194</v>
      </c>
      <c r="D26" s="26"/>
      <c r="I26" s="107"/>
      <c r="J26" s="66"/>
      <c r="K26" s="104"/>
    </row>
    <row r="27" ht="15.75" customHeight="1">
      <c r="A27" s="108"/>
      <c r="B27" s="67"/>
      <c r="C27" s="109"/>
      <c r="D27" s="26"/>
      <c r="E27" s="110" t="s">
        <v>42</v>
      </c>
      <c r="F27" s="111" t="s">
        <v>43</v>
      </c>
      <c r="I27" s="112"/>
      <c r="J27" s="113"/>
      <c r="K27" s="114"/>
    </row>
    <row r="28" ht="15.75" customHeight="1">
      <c r="A28" s="115" t="s">
        <v>44</v>
      </c>
      <c r="B28" s="116">
        <f t="shared" ref="B28:B29" si="3"> (C28/C25)</f>
        <v>0.121226321</v>
      </c>
      <c r="C28" s="117">
        <f> IF(C8="Single",IF(C25&gt;609350,(C25-609350)*0.37,0)+IF(C25&gt;243725,MIN(C25-243725,609350-243725)*0.35,0)+IF(C25&gt;191950,MIN(C25-191950,243725-191950)*0.32,0)+IF(C25&gt;100525,MIN(C25-100525,191950-100525)*0.24,0)+IF(C25&gt;47150,MIN(C25-47150,100525-47150)*0.22,0)+IF(C25&gt;11925,MIN(C25-11925,47150-11925)*0.12,0)+IF(C25&gt;0,MIN(C25,11925)*0.1,0),0)</f>
        <v>6079.5</v>
      </c>
      <c r="D28" s="118"/>
      <c r="E28" s="119" t="s">
        <v>45</v>
      </c>
      <c r="F28" s="119" t="s">
        <v>46</v>
      </c>
      <c r="G28" s="120"/>
      <c r="H28" s="120"/>
      <c r="I28" s="112"/>
      <c r="J28" s="113"/>
      <c r="K28" s="114"/>
      <c r="L28" s="120"/>
      <c r="M28" s="120"/>
      <c r="N28" s="120"/>
      <c r="O28" s="120"/>
    </row>
    <row r="29" ht="20.25" customHeight="1">
      <c r="A29" s="115" t="s">
        <v>47</v>
      </c>
      <c r="B29" s="116">
        <f t="shared" si="3"/>
        <v>0.0311369904</v>
      </c>
      <c r="C29" s="117">
        <f> IF(C8="Single",LET(caIncome,C26-5202,IF(caIncome&gt;677275,(caIncome-677275)*0.133,0)+IF(caIncome&gt;406364,MIN(caIncome-406364,677275-406364)*0.123,0)+IF(caIncome&gt;338639,MIN(caIncome-338639,406364-338639)*0.113,0)+IF(caIncome&gt;68350,MIN(caIncome-68350,338639-68350)*0.093,0)+IF(caIncome&gt;54081,MIN(caIncome-54081,68350-54081)*0.08,0)+IF(caIncome&gt;38959,MIN(caIncome-38959,54081-38959)*0.06,0)+IF(caIncome&gt;27490,MIN(caIncome-27490,38959-27490)*0.04,0)+IF(caIncome&gt;11450,MIN(caIncome-11450,27490-11450)*0.02,0)+IF(caIncome&gt;0,MIN(caIncome,11450)*0.01,0)),0)</f>
        <v>1874.26</v>
      </c>
      <c r="D29" s="118"/>
      <c r="E29" s="121" t="s">
        <v>48</v>
      </c>
      <c r="F29" s="122">
        <v>1800.0</v>
      </c>
      <c r="I29" s="107"/>
      <c r="J29" s="123"/>
      <c r="K29" s="114"/>
    </row>
    <row r="30" ht="22.5" customHeight="1">
      <c r="A30" s="108" t="s">
        <v>49</v>
      </c>
      <c r="B30" s="124">
        <v>0.062</v>
      </c>
      <c r="C30" s="117">
        <f> MIN(C13,176100)*0.062</f>
        <v>2604</v>
      </c>
      <c r="D30" s="118"/>
      <c r="E30" s="121" t="s">
        <v>50</v>
      </c>
      <c r="F30" s="122">
        <v>1350.0</v>
      </c>
      <c r="G30" s="120"/>
      <c r="H30" s="120"/>
      <c r="I30" s="125"/>
      <c r="J30" s="123"/>
      <c r="K30" s="114"/>
      <c r="L30" s="120"/>
      <c r="M30" s="120"/>
      <c r="N30" s="120"/>
      <c r="O30" s="120"/>
    </row>
    <row r="31" ht="18.0" customHeight="1">
      <c r="A31" s="126" t="s">
        <v>51</v>
      </c>
      <c r="B31" s="124">
        <v>0.0145</v>
      </c>
      <c r="C31" s="117">
        <f> C13*0.0145</f>
        <v>609</v>
      </c>
      <c r="D31" s="118"/>
      <c r="E31" s="127"/>
      <c r="F31" s="119"/>
      <c r="G31" s="120"/>
      <c r="H31" s="120"/>
      <c r="I31" s="128"/>
      <c r="J31" s="129"/>
      <c r="K31" s="130"/>
      <c r="L31" s="120"/>
      <c r="M31" s="120"/>
      <c r="N31" s="120"/>
      <c r="O31" s="120"/>
    </row>
    <row r="32" ht="15.0" customHeight="1">
      <c r="A32" s="131"/>
      <c r="B32" s="132">
        <v>0.0</v>
      </c>
      <c r="C32" s="133"/>
      <c r="D32" s="134"/>
      <c r="E32" s="127"/>
      <c r="F32" s="127"/>
      <c r="G32" s="135"/>
      <c r="H32" s="135"/>
      <c r="I32" s="136"/>
      <c r="J32" s="137"/>
      <c r="K32" s="138"/>
      <c r="L32" s="135"/>
      <c r="M32" s="135"/>
      <c r="N32" s="135"/>
      <c r="O32" s="135"/>
    </row>
    <row r="33" ht="21.75" customHeight="1">
      <c r="A33" s="139" t="s">
        <v>52</v>
      </c>
      <c r="B33" s="140">
        <f> sum(B28:B31)</f>
        <v>0.2288633114</v>
      </c>
      <c r="C33" s="141">
        <f>sum(C28:C31)</f>
        <v>11166.76</v>
      </c>
      <c r="D33" s="134"/>
      <c r="E33" s="127"/>
      <c r="F33" s="135"/>
      <c r="G33" s="135"/>
      <c r="H33" s="135"/>
      <c r="I33" s="142"/>
      <c r="J33" s="143"/>
      <c r="K33" s="144"/>
      <c r="L33" s="135"/>
      <c r="M33" s="135"/>
      <c r="N33" s="135"/>
      <c r="O33" s="135"/>
    </row>
    <row r="34" ht="30.75" customHeight="1">
      <c r="A34" s="145" t="s">
        <v>53</v>
      </c>
      <c r="B34" s="146">
        <f>C34/12</f>
        <v>4644.436667</v>
      </c>
      <c r="C34" s="147">
        <f>sum(C13:C16) - C33</f>
        <v>55733.24</v>
      </c>
      <c r="D34" s="26"/>
    </row>
    <row r="35" ht="43.5" customHeight="1">
      <c r="A35" s="86"/>
      <c r="B35" s="86"/>
      <c r="C35" s="148"/>
      <c r="D35" s="26"/>
      <c r="I35" s="4"/>
      <c r="J35" s="4"/>
      <c r="K35" s="4"/>
    </row>
    <row r="36" ht="28.5" customHeight="1">
      <c r="A36" s="149" t="s">
        <v>54</v>
      </c>
      <c r="B36" s="31"/>
      <c r="C36" s="32"/>
      <c r="D36" s="150"/>
      <c r="E36" s="4"/>
      <c r="F36" s="4"/>
      <c r="G36" s="4"/>
      <c r="H36" s="4"/>
      <c r="L36" s="4"/>
      <c r="M36" s="4"/>
      <c r="N36" s="4"/>
      <c r="O36" s="4"/>
    </row>
    <row r="37" ht="17.25" customHeight="1">
      <c r="A37" s="151" t="s">
        <v>55</v>
      </c>
      <c r="B37" s="32"/>
      <c r="C37" s="152" t="s">
        <v>56</v>
      </c>
      <c r="D37" s="26"/>
      <c r="F37" s="153"/>
      <c r="I37" s="4"/>
      <c r="J37" s="4"/>
      <c r="K37" s="4"/>
    </row>
    <row r="38" ht="15.75" customHeight="1">
      <c r="A38" s="154" t="s">
        <v>57</v>
      </c>
      <c r="B38" s="155">
        <v>1327.0</v>
      </c>
      <c r="C38" s="156" t="s">
        <v>58</v>
      </c>
      <c r="D38" s="3" t="s">
        <v>59</v>
      </c>
      <c r="E38" s="4"/>
      <c r="F38" s="157"/>
      <c r="G38" s="4"/>
      <c r="H38" s="4"/>
      <c r="I38" s="4"/>
      <c r="J38" s="4"/>
      <c r="K38" s="4"/>
      <c r="L38" s="4"/>
      <c r="M38" s="4"/>
      <c r="N38" s="4"/>
      <c r="O38" s="4"/>
    </row>
    <row r="39" ht="15.75" customHeight="1">
      <c r="A39" s="154" t="s">
        <v>60</v>
      </c>
      <c r="B39" s="53">
        <v>85.0</v>
      </c>
      <c r="C39" s="156" t="s">
        <v>61</v>
      </c>
      <c r="D39" s="3" t="s">
        <v>60</v>
      </c>
      <c r="E39" s="4"/>
      <c r="F39" s="157"/>
      <c r="G39" s="4"/>
      <c r="H39" s="4"/>
      <c r="I39" s="4"/>
      <c r="J39" s="4"/>
      <c r="K39" s="4"/>
      <c r="L39" s="4"/>
      <c r="M39" s="4"/>
      <c r="N39" s="4"/>
      <c r="O39" s="4"/>
    </row>
    <row r="40" ht="15.75" customHeight="1">
      <c r="A40" s="52" t="s">
        <v>62</v>
      </c>
      <c r="B40" s="53">
        <v>50.0</v>
      </c>
      <c r="C40" s="156" t="s">
        <v>63</v>
      </c>
      <c r="D40" s="3" t="s">
        <v>60</v>
      </c>
      <c r="E40" s="4"/>
      <c r="F40" s="157"/>
      <c r="G40" s="4"/>
      <c r="H40" s="4"/>
      <c r="I40" s="4"/>
      <c r="J40" s="4"/>
      <c r="K40" s="4"/>
      <c r="L40" s="4"/>
      <c r="M40" s="4"/>
      <c r="N40" s="4"/>
      <c r="O40" s="4"/>
    </row>
    <row r="41" ht="15.75" customHeight="1">
      <c r="A41" s="52" t="s">
        <v>64</v>
      </c>
      <c r="B41" s="53"/>
      <c r="C41" s="156" t="s">
        <v>65</v>
      </c>
      <c r="D41" s="3" t="s">
        <v>59</v>
      </c>
      <c r="E41" s="4"/>
      <c r="F41" s="157"/>
      <c r="G41" s="4"/>
      <c r="H41" s="4"/>
      <c r="I41" s="4"/>
      <c r="J41" s="4"/>
      <c r="K41" s="4"/>
      <c r="L41" s="4"/>
      <c r="M41" s="4"/>
      <c r="N41" s="4"/>
      <c r="O41" s="4"/>
    </row>
    <row r="42" ht="15.75" customHeight="1">
      <c r="A42" s="52"/>
      <c r="B42" s="158"/>
      <c r="C42" s="158" t="s">
        <v>66</v>
      </c>
      <c r="D42" s="3"/>
      <c r="E42" s="4"/>
      <c r="F42" s="157"/>
      <c r="G42" s="4"/>
      <c r="H42" s="4"/>
      <c r="I42" s="4"/>
      <c r="J42" s="4"/>
      <c r="K42" s="4"/>
      <c r="L42" s="4"/>
      <c r="M42" s="4"/>
      <c r="N42" s="4"/>
      <c r="O42" s="4"/>
    </row>
    <row r="43" ht="15.75" customHeight="1">
      <c r="A43" s="52" t="s">
        <v>67</v>
      </c>
      <c r="B43" s="155">
        <v>500.0</v>
      </c>
      <c r="C43" s="156" t="s">
        <v>68</v>
      </c>
      <c r="D43" s="3" t="s">
        <v>69</v>
      </c>
      <c r="E43" s="4"/>
      <c r="F43" s="157"/>
      <c r="G43" s="4"/>
      <c r="H43" s="4"/>
      <c r="I43" s="4"/>
      <c r="J43" s="4"/>
      <c r="K43" s="4"/>
      <c r="L43" s="4"/>
      <c r="M43" s="4"/>
      <c r="N43" s="4"/>
      <c r="O43" s="4"/>
    </row>
    <row r="44" ht="15.75" customHeight="1">
      <c r="A44" s="159" t="s">
        <v>70</v>
      </c>
      <c r="B44" s="53">
        <v>84.0</v>
      </c>
      <c r="C44" s="156" t="s">
        <v>71</v>
      </c>
      <c r="D44" s="26" t="s">
        <v>72</v>
      </c>
      <c r="E44" s="4"/>
      <c r="F44" s="157"/>
      <c r="G44" s="4"/>
      <c r="H44" s="4"/>
      <c r="I44" s="4"/>
      <c r="J44" s="4"/>
      <c r="K44" s="4"/>
      <c r="L44" s="4"/>
      <c r="M44" s="4"/>
      <c r="N44" s="4"/>
      <c r="O44" s="4"/>
    </row>
    <row r="45" ht="15.75" customHeight="1">
      <c r="A45" s="159" t="s">
        <v>73</v>
      </c>
      <c r="B45" s="53">
        <v>55.0</v>
      </c>
      <c r="C45" s="156" t="s">
        <v>74</v>
      </c>
      <c r="D45" s="160"/>
      <c r="E45" s="4"/>
      <c r="F45" s="161"/>
      <c r="G45" s="4"/>
      <c r="H45" s="4"/>
      <c r="I45" s="4"/>
      <c r="J45" s="4"/>
      <c r="K45" s="4"/>
      <c r="L45" s="4"/>
      <c r="M45" s="4"/>
      <c r="N45" s="4"/>
      <c r="O45" s="4"/>
    </row>
    <row r="46" ht="15.75" customHeight="1">
      <c r="A46" s="162" t="s">
        <v>75</v>
      </c>
      <c r="B46" s="163">
        <v>350.0</v>
      </c>
      <c r="C46" s="156" t="s">
        <v>76</v>
      </c>
      <c r="D46" s="160"/>
      <c r="E46" s="4"/>
      <c r="F46" s="161"/>
      <c r="G46" s="4"/>
      <c r="H46" s="4"/>
      <c r="I46" s="4"/>
      <c r="J46" s="4"/>
      <c r="K46" s="4"/>
      <c r="L46" s="4"/>
      <c r="M46" s="4"/>
      <c r="N46" s="4"/>
      <c r="O46" s="4"/>
    </row>
    <row r="47" ht="15.75" customHeight="1">
      <c r="A47" s="159" t="s">
        <v>77</v>
      </c>
      <c r="B47" s="53">
        <v>18.0</v>
      </c>
      <c r="C47" s="156" t="s">
        <v>78</v>
      </c>
      <c r="D47" s="164" t="s">
        <v>79</v>
      </c>
      <c r="E47" s="4"/>
      <c r="F47" s="157"/>
      <c r="G47" s="4"/>
      <c r="H47" s="4"/>
      <c r="I47" s="4"/>
      <c r="J47" s="4"/>
      <c r="K47" s="4"/>
      <c r="L47" s="4"/>
      <c r="M47" s="4"/>
      <c r="N47" s="4"/>
      <c r="O47" s="4"/>
    </row>
    <row r="48" ht="15.75" customHeight="1">
      <c r="A48" s="165" t="s">
        <v>80</v>
      </c>
      <c r="B48" s="53">
        <v>9.0</v>
      </c>
      <c r="C48" s="156" t="s">
        <v>81</v>
      </c>
      <c r="D48" s="3" t="s">
        <v>82</v>
      </c>
      <c r="E48" s="4"/>
      <c r="F48" s="161"/>
      <c r="G48" s="4"/>
      <c r="H48" s="4"/>
      <c r="I48" s="4"/>
      <c r="J48" s="4"/>
      <c r="K48" s="4"/>
      <c r="L48" s="4"/>
      <c r="M48" s="4"/>
      <c r="N48" s="4"/>
      <c r="O48" s="4"/>
    </row>
    <row r="49" ht="15.75" customHeight="1">
      <c r="A49" s="159" t="s">
        <v>83</v>
      </c>
      <c r="B49" s="53">
        <v>6.0</v>
      </c>
      <c r="C49" s="156" t="s">
        <v>84</v>
      </c>
      <c r="D49" s="166" t="s">
        <v>82</v>
      </c>
      <c r="E49" s="4"/>
      <c r="F49" s="161"/>
      <c r="G49" s="4"/>
      <c r="H49" s="4"/>
      <c r="I49" s="4"/>
      <c r="J49" s="4"/>
      <c r="K49" s="4"/>
      <c r="L49" s="4"/>
      <c r="M49" s="4"/>
      <c r="N49" s="4"/>
      <c r="O49" s="4"/>
    </row>
    <row r="50" ht="15.75" customHeight="1">
      <c r="A50" s="162" t="s">
        <v>85</v>
      </c>
      <c r="B50" s="53">
        <v>25.0</v>
      </c>
      <c r="C50" s="167" t="s">
        <v>86</v>
      </c>
      <c r="D50" s="168" t="s">
        <v>85</v>
      </c>
      <c r="E50" s="4"/>
      <c r="F50" s="161"/>
      <c r="G50" s="4"/>
      <c r="H50" s="4"/>
      <c r="I50" s="4"/>
      <c r="J50" s="4"/>
      <c r="K50" s="4"/>
      <c r="L50" s="4"/>
      <c r="M50" s="4"/>
      <c r="N50" s="4"/>
      <c r="O50" s="4"/>
    </row>
    <row r="51" ht="15.75" customHeight="1">
      <c r="A51" s="162"/>
      <c r="B51" s="53"/>
      <c r="C51" s="156"/>
      <c r="D51" s="166"/>
      <c r="E51" s="4"/>
      <c r="F51" s="161"/>
      <c r="G51" s="4"/>
      <c r="H51" s="4"/>
      <c r="I51" s="4"/>
      <c r="J51" s="4"/>
      <c r="K51" s="4"/>
      <c r="L51" s="4"/>
      <c r="M51" s="4"/>
      <c r="N51" s="4"/>
      <c r="O51" s="4"/>
    </row>
    <row r="52" ht="15.75" customHeight="1">
      <c r="A52" s="162" t="s">
        <v>87</v>
      </c>
      <c r="B52" s="53"/>
      <c r="C52" s="156"/>
      <c r="D52" s="3"/>
      <c r="E52" s="4"/>
      <c r="F52" s="161"/>
      <c r="G52" s="4"/>
      <c r="H52" s="4"/>
      <c r="I52" s="4"/>
      <c r="J52" s="4"/>
      <c r="K52" s="4"/>
      <c r="L52" s="4"/>
      <c r="M52" s="4"/>
      <c r="N52" s="4"/>
      <c r="O52" s="4"/>
    </row>
    <row r="53" ht="15.75" customHeight="1">
      <c r="A53" s="165" t="s">
        <v>88</v>
      </c>
      <c r="B53" s="53">
        <v>12.0</v>
      </c>
      <c r="C53" s="156" t="s">
        <v>89</v>
      </c>
      <c r="D53" s="3"/>
      <c r="E53" s="4"/>
      <c r="F53" s="169"/>
      <c r="G53" s="4"/>
      <c r="H53" s="4"/>
      <c r="I53" s="4"/>
      <c r="J53" s="4"/>
      <c r="K53" s="4"/>
      <c r="L53" s="4"/>
      <c r="M53" s="4"/>
      <c r="N53" s="4"/>
      <c r="O53" s="4"/>
    </row>
    <row r="54" ht="15.75" customHeight="1">
      <c r="A54" s="165" t="s">
        <v>90</v>
      </c>
      <c r="B54" s="53">
        <v>7.0</v>
      </c>
      <c r="C54" s="156" t="s">
        <v>91</v>
      </c>
      <c r="D54" s="3"/>
      <c r="E54" s="4"/>
      <c r="F54" s="169"/>
      <c r="G54" s="4"/>
      <c r="H54" s="4"/>
      <c r="L54" s="4"/>
      <c r="M54" s="4"/>
      <c r="N54" s="4"/>
      <c r="O54" s="4"/>
    </row>
    <row r="55" ht="15.75" customHeight="1">
      <c r="A55" s="162"/>
      <c r="B55" s="53"/>
      <c r="C55" s="170"/>
      <c r="D55" s="26"/>
      <c r="I55" s="4"/>
      <c r="J55" s="4"/>
      <c r="K55" s="4"/>
    </row>
    <row r="56" ht="15.75" customHeight="1">
      <c r="A56" s="159" t="s">
        <v>92</v>
      </c>
      <c r="B56" s="53">
        <v>30.0</v>
      </c>
      <c r="C56" s="156" t="s">
        <v>93</v>
      </c>
      <c r="D56" s="3" t="s">
        <v>87</v>
      </c>
      <c r="E56" s="4"/>
      <c r="F56" s="4"/>
      <c r="G56" s="4"/>
      <c r="H56" s="4"/>
      <c r="I56" s="4"/>
      <c r="J56" s="4"/>
      <c r="K56" s="4"/>
      <c r="L56" s="4"/>
      <c r="M56" s="4"/>
      <c r="N56" s="4"/>
      <c r="O56" s="4"/>
    </row>
    <row r="57" ht="15.75" customHeight="1">
      <c r="A57" s="159" t="s">
        <v>94</v>
      </c>
      <c r="B57" s="53">
        <v>0.0</v>
      </c>
      <c r="C57" s="156" t="s">
        <v>95</v>
      </c>
      <c r="D57" s="3" t="s">
        <v>87</v>
      </c>
      <c r="E57" s="4"/>
      <c r="F57" s="4"/>
      <c r="G57" s="4"/>
      <c r="H57" s="4"/>
      <c r="I57" s="4"/>
      <c r="J57" s="4"/>
      <c r="K57" s="4"/>
      <c r="L57" s="4"/>
      <c r="M57" s="4"/>
      <c r="N57" s="4"/>
      <c r="O57" s="4"/>
    </row>
    <row r="58" ht="15.75" customHeight="1">
      <c r="A58" s="159" t="s">
        <v>96</v>
      </c>
      <c r="B58" s="53">
        <v>29.0</v>
      </c>
      <c r="C58" s="156" t="s">
        <v>97</v>
      </c>
      <c r="D58" s="3" t="s">
        <v>87</v>
      </c>
      <c r="E58" s="4"/>
      <c r="F58" s="4"/>
      <c r="G58" s="4"/>
      <c r="H58" s="4"/>
      <c r="I58" s="4"/>
      <c r="J58" s="4"/>
      <c r="K58" s="4"/>
      <c r="L58" s="4"/>
      <c r="M58" s="4"/>
      <c r="N58" s="4"/>
      <c r="O58" s="4"/>
    </row>
    <row r="59" ht="15.75" customHeight="1">
      <c r="A59" s="171" t="s">
        <v>98</v>
      </c>
      <c r="B59" s="53">
        <v>23.0</v>
      </c>
      <c r="C59" s="156" t="s">
        <v>99</v>
      </c>
      <c r="D59" s="166" t="s">
        <v>100</v>
      </c>
      <c r="E59" s="4"/>
      <c r="F59" s="4"/>
      <c r="G59" s="4"/>
      <c r="H59" s="4"/>
      <c r="I59" s="4"/>
      <c r="J59" s="4"/>
      <c r="K59" s="4"/>
      <c r="L59" s="4"/>
      <c r="M59" s="4"/>
      <c r="N59" s="4"/>
      <c r="O59" s="4"/>
    </row>
    <row r="60" ht="15.75" customHeight="1">
      <c r="A60" s="172" t="s">
        <v>101</v>
      </c>
      <c r="B60" s="53">
        <v>2.6</v>
      </c>
      <c r="C60" s="156" t="s">
        <v>102</v>
      </c>
      <c r="D60" s="3" t="s">
        <v>87</v>
      </c>
      <c r="E60" s="4"/>
      <c r="F60" s="4"/>
      <c r="G60" s="4"/>
      <c r="H60" s="4"/>
      <c r="I60" s="4"/>
      <c r="J60" s="4"/>
      <c r="K60" s="4"/>
      <c r="L60" s="4"/>
      <c r="M60" s="4"/>
      <c r="N60" s="4"/>
      <c r="O60" s="4"/>
    </row>
    <row r="61" ht="15.75" customHeight="1">
      <c r="A61" s="159" t="s">
        <v>103</v>
      </c>
      <c r="B61" s="53">
        <v>40.0</v>
      </c>
      <c r="C61" s="173" t="s">
        <v>104</v>
      </c>
      <c r="D61" s="26" t="s">
        <v>87</v>
      </c>
      <c r="E61" s="4"/>
      <c r="F61" s="4"/>
      <c r="G61" s="4"/>
      <c r="H61" s="4"/>
      <c r="I61" s="4"/>
      <c r="J61" s="4"/>
      <c r="K61" s="4"/>
      <c r="L61" s="4"/>
      <c r="M61" s="4"/>
      <c r="N61" s="4"/>
      <c r="O61" s="4"/>
    </row>
    <row r="62" ht="15.75" customHeight="1">
      <c r="A62" s="159" t="s">
        <v>105</v>
      </c>
      <c r="B62" s="53">
        <v>15.0</v>
      </c>
      <c r="C62" s="156" t="s">
        <v>106</v>
      </c>
      <c r="D62" s="3" t="s">
        <v>87</v>
      </c>
      <c r="E62" s="4"/>
      <c r="F62" s="4"/>
      <c r="G62" s="4"/>
      <c r="H62" s="4"/>
      <c r="I62" s="4"/>
      <c r="J62" s="4"/>
      <c r="K62" s="4"/>
      <c r="L62" s="4"/>
      <c r="M62" s="4"/>
      <c r="N62" s="4"/>
      <c r="O62" s="4"/>
    </row>
    <row r="63" ht="15.75" customHeight="1">
      <c r="A63" s="159" t="s">
        <v>107</v>
      </c>
      <c r="B63" s="53">
        <v>8.4</v>
      </c>
      <c r="C63" s="156" t="s">
        <v>108</v>
      </c>
      <c r="D63" s="3" t="s">
        <v>87</v>
      </c>
      <c r="E63" s="4"/>
      <c r="F63" s="4"/>
      <c r="G63" s="4"/>
      <c r="H63" s="4"/>
      <c r="I63" s="4"/>
      <c r="J63" s="4"/>
      <c r="K63" s="4"/>
      <c r="L63" s="4"/>
      <c r="M63" s="4"/>
      <c r="N63" s="4"/>
      <c r="O63" s="4"/>
    </row>
    <row r="64" ht="15.75" customHeight="1">
      <c r="A64" s="159" t="s">
        <v>109</v>
      </c>
      <c r="B64" s="53">
        <v>7.0</v>
      </c>
      <c r="C64" s="156" t="s">
        <v>110</v>
      </c>
      <c r="D64" s="3" t="s">
        <v>87</v>
      </c>
      <c r="E64" s="4"/>
      <c r="F64" s="4"/>
      <c r="G64" s="4"/>
      <c r="H64" s="4"/>
      <c r="L64" s="4"/>
      <c r="M64" s="4"/>
      <c r="N64" s="4"/>
      <c r="O64" s="4"/>
    </row>
    <row r="65" ht="15.75" customHeight="1">
      <c r="A65" s="159" t="s">
        <v>111</v>
      </c>
      <c r="B65" s="67"/>
      <c r="C65" s="170"/>
      <c r="D65" s="26"/>
    </row>
    <row r="66" ht="24.75" customHeight="1">
      <c r="A66" s="174" t="s">
        <v>112</v>
      </c>
      <c r="B66" s="175">
        <f>sum(B56:B65)</f>
        <v>155</v>
      </c>
      <c r="C66" s="176">
        <f t="shared" ref="C66:C68" si="4">B66*12</f>
        <v>1860</v>
      </c>
      <c r="D66" s="26"/>
    </row>
    <row r="67" ht="42.0" customHeight="1">
      <c r="A67" s="145" t="s">
        <v>113</v>
      </c>
      <c r="B67" s="177">
        <f>sum(B38:B64)</f>
        <v>2683</v>
      </c>
      <c r="C67" s="177">
        <f t="shared" si="4"/>
        <v>32196</v>
      </c>
      <c r="D67" s="26"/>
    </row>
    <row r="68" ht="49.5" customHeight="1">
      <c r="A68" s="178" t="s">
        <v>114</v>
      </c>
      <c r="B68" s="179">
        <f>B67-B94</f>
        <v>2609</v>
      </c>
      <c r="C68" s="179">
        <f t="shared" si="4"/>
        <v>31308</v>
      </c>
      <c r="D68" s="26"/>
    </row>
    <row r="69" ht="37.5" customHeight="1">
      <c r="A69" s="180"/>
      <c r="B69" s="180"/>
      <c r="C69" s="180"/>
      <c r="D69" s="26"/>
      <c r="I69" s="4"/>
      <c r="J69" s="4"/>
      <c r="K69" s="4"/>
    </row>
    <row r="70" ht="25.5" customHeight="1">
      <c r="A70" s="181" t="s">
        <v>115</v>
      </c>
      <c r="B70" s="182"/>
      <c r="C70" s="183"/>
      <c r="D70" s="3"/>
      <c r="E70" s="4"/>
      <c r="F70" s="4"/>
      <c r="G70" s="4"/>
      <c r="H70" s="4"/>
      <c r="L70" s="4"/>
      <c r="M70" s="4"/>
      <c r="N70" s="4"/>
      <c r="O70" s="4"/>
    </row>
    <row r="71">
      <c r="A71" s="184" t="s">
        <v>116</v>
      </c>
      <c r="B71" s="31"/>
      <c r="C71" s="185" t="s">
        <v>56</v>
      </c>
      <c r="D71" s="26"/>
      <c r="I71" s="4"/>
      <c r="J71" s="4"/>
      <c r="K71" s="4"/>
    </row>
    <row r="72" ht="24.75" customHeight="1">
      <c r="A72" s="52" t="s">
        <v>117</v>
      </c>
      <c r="B72" s="53">
        <v>320.0</v>
      </c>
      <c r="C72" s="156" t="s">
        <v>118</v>
      </c>
      <c r="D72" s="166" t="s">
        <v>119</v>
      </c>
      <c r="E72" s="4"/>
      <c r="F72" s="157"/>
      <c r="G72" s="4"/>
      <c r="H72" s="4"/>
      <c r="I72" s="4"/>
      <c r="J72" s="4"/>
      <c r="K72" s="4"/>
      <c r="L72" s="4"/>
      <c r="M72" s="4"/>
      <c r="N72" s="4"/>
      <c r="O72" s="4"/>
    </row>
    <row r="73" ht="23.25" customHeight="1">
      <c r="A73" s="52" t="s">
        <v>120</v>
      </c>
      <c r="B73" s="53">
        <v>100.0</v>
      </c>
      <c r="C73" s="156" t="s">
        <v>121</v>
      </c>
      <c r="D73" s="186" t="s">
        <v>122</v>
      </c>
      <c r="E73" s="4"/>
      <c r="F73" s="157"/>
      <c r="G73" s="4"/>
      <c r="H73" s="4"/>
      <c r="I73" s="4"/>
      <c r="J73" s="4"/>
      <c r="K73" s="4"/>
      <c r="L73" s="4"/>
      <c r="M73" s="4"/>
      <c r="N73" s="4"/>
      <c r="O73" s="4"/>
    </row>
    <row r="74" ht="24.0" customHeight="1">
      <c r="A74" s="52" t="s">
        <v>123</v>
      </c>
      <c r="B74" s="53">
        <v>142.0</v>
      </c>
      <c r="C74" s="156" t="s">
        <v>124</v>
      </c>
      <c r="D74" s="166" t="s">
        <v>123</v>
      </c>
      <c r="E74" s="4"/>
      <c r="F74" s="157"/>
      <c r="G74" s="4"/>
      <c r="H74" s="4"/>
      <c r="I74" s="4"/>
      <c r="J74" s="4"/>
      <c r="K74" s="4"/>
      <c r="L74" s="4"/>
      <c r="M74" s="4"/>
      <c r="N74" s="4"/>
      <c r="O74" s="4"/>
    </row>
    <row r="75" ht="24.75" customHeight="1">
      <c r="A75" s="52" t="s">
        <v>125</v>
      </c>
      <c r="B75" s="53">
        <v>84.0</v>
      </c>
      <c r="C75" s="156" t="s">
        <v>126</v>
      </c>
      <c r="D75" s="166" t="s">
        <v>127</v>
      </c>
      <c r="E75" s="4"/>
      <c r="F75" s="157"/>
      <c r="G75" s="4"/>
      <c r="H75" s="4"/>
      <c r="I75" s="4"/>
      <c r="J75" s="4"/>
      <c r="K75" s="4"/>
      <c r="L75" s="4"/>
      <c r="M75" s="4"/>
      <c r="N75" s="4"/>
      <c r="O75" s="4"/>
    </row>
    <row r="76" ht="17.25" customHeight="1">
      <c r="A76" s="52" t="s">
        <v>128</v>
      </c>
      <c r="B76" s="53">
        <v>42.0</v>
      </c>
      <c r="C76" s="156" t="s">
        <v>129</v>
      </c>
      <c r="D76" s="166" t="s">
        <v>82</v>
      </c>
      <c r="E76" s="4"/>
      <c r="F76" s="157"/>
      <c r="G76" s="4"/>
      <c r="H76" s="4"/>
      <c r="I76" s="4"/>
      <c r="J76" s="4"/>
      <c r="K76" s="4"/>
      <c r="L76" s="4"/>
      <c r="M76" s="4"/>
      <c r="N76" s="4"/>
      <c r="O76" s="4"/>
    </row>
    <row r="77" ht="23.25" customHeight="1">
      <c r="A77" s="52" t="s">
        <v>130</v>
      </c>
      <c r="B77" s="53">
        <v>17.0</v>
      </c>
      <c r="C77" s="156" t="s">
        <v>131</v>
      </c>
      <c r="D77" s="166" t="s">
        <v>82</v>
      </c>
      <c r="E77" s="4"/>
      <c r="F77" s="157"/>
      <c r="G77" s="4"/>
      <c r="H77" s="4"/>
      <c r="L77" s="4"/>
      <c r="M77" s="4"/>
      <c r="N77" s="4"/>
      <c r="O77" s="4"/>
    </row>
    <row r="78" ht="17.25" customHeight="1">
      <c r="A78" s="187" t="s">
        <v>132</v>
      </c>
      <c r="B78" s="188">
        <v>23.0</v>
      </c>
      <c r="C78" s="189" t="s">
        <v>133</v>
      </c>
      <c r="D78" s="166" t="s">
        <v>82</v>
      </c>
      <c r="F78" s="153"/>
    </row>
    <row r="79" ht="17.25" customHeight="1">
      <c r="A79" s="162" t="s">
        <v>134</v>
      </c>
      <c r="B79" s="53">
        <v>30.0</v>
      </c>
      <c r="C79" s="156" t="s">
        <v>135</v>
      </c>
      <c r="D79" s="166" t="s">
        <v>136</v>
      </c>
      <c r="F79" s="153"/>
    </row>
    <row r="80" ht="17.25" customHeight="1">
      <c r="A80" s="162" t="s">
        <v>137</v>
      </c>
      <c r="B80" s="53">
        <v>17.5</v>
      </c>
      <c r="C80" s="156" t="s">
        <v>138</v>
      </c>
      <c r="D80" s="166" t="s">
        <v>136</v>
      </c>
      <c r="F80" s="153"/>
    </row>
    <row r="81" ht="17.25" customHeight="1">
      <c r="A81" s="162" t="s">
        <v>139</v>
      </c>
      <c r="B81" s="53">
        <v>10.0</v>
      </c>
      <c r="C81" s="170"/>
      <c r="D81" s="166" t="s">
        <v>139</v>
      </c>
      <c r="F81" s="153"/>
    </row>
    <row r="82" ht="17.25" customHeight="1">
      <c r="A82" s="162" t="s">
        <v>140</v>
      </c>
      <c r="B82" s="53">
        <v>30.0</v>
      </c>
      <c r="C82" s="170"/>
      <c r="D82" s="166" t="s">
        <v>141</v>
      </c>
      <c r="F82" s="153"/>
    </row>
    <row r="83" ht="39.75" customHeight="1">
      <c r="A83" s="190" t="s">
        <v>142</v>
      </c>
      <c r="B83" s="191">
        <f>sum(B72:B82)</f>
        <v>815.5</v>
      </c>
      <c r="C83" s="191">
        <f t="shared" ref="C83:C84" si="5">B83*12</f>
        <v>9786</v>
      </c>
      <c r="D83" s="26"/>
      <c r="F83" s="192"/>
    </row>
    <row r="84" ht="55.5" customHeight="1">
      <c r="A84" s="193" t="s">
        <v>143</v>
      </c>
      <c r="B84" s="194">
        <f>sum(B83,B67)</f>
        <v>3498.5</v>
      </c>
      <c r="C84" s="194">
        <f t="shared" si="5"/>
        <v>41982</v>
      </c>
      <c r="D84" s="26"/>
      <c r="F84" s="192"/>
    </row>
    <row r="85" ht="54.75" customHeight="1">
      <c r="A85" s="195"/>
      <c r="B85" s="196"/>
      <c r="C85" s="197"/>
      <c r="D85" s="26"/>
      <c r="F85" s="153"/>
    </row>
    <row r="86" ht="54.75" customHeight="1">
      <c r="A86" s="198"/>
      <c r="B86" s="199" t="s">
        <v>144</v>
      </c>
      <c r="C86" s="200"/>
      <c r="D86" s="26"/>
      <c r="F86" s="192"/>
      <c r="I86" s="4"/>
      <c r="J86" s="4"/>
      <c r="K86" s="4"/>
    </row>
    <row r="87" ht="18.0" customHeight="1">
      <c r="A87" s="201" t="s">
        <v>145</v>
      </c>
      <c r="B87" s="202">
        <v>12.0</v>
      </c>
      <c r="C87" s="201" t="s">
        <v>89</v>
      </c>
      <c r="D87" s="26"/>
      <c r="E87" s="4"/>
      <c r="F87" s="161"/>
      <c r="G87" s="4"/>
      <c r="H87" s="4"/>
      <c r="I87" s="4"/>
      <c r="J87" s="4"/>
      <c r="K87" s="4"/>
      <c r="L87" s="4"/>
      <c r="M87" s="4"/>
      <c r="N87" s="4"/>
      <c r="O87" s="4"/>
    </row>
    <row r="88" ht="18.75" customHeight="1">
      <c r="A88" s="201" t="s">
        <v>146</v>
      </c>
      <c r="B88" s="202">
        <v>7.0</v>
      </c>
      <c r="C88" s="201" t="s">
        <v>91</v>
      </c>
      <c r="D88" s="26"/>
      <c r="E88" s="4"/>
      <c r="F88" s="161"/>
      <c r="G88" s="4"/>
      <c r="H88" s="4"/>
      <c r="I88" s="4"/>
      <c r="J88" s="4"/>
      <c r="K88" s="4"/>
      <c r="L88" s="4"/>
      <c r="M88" s="4"/>
      <c r="N88" s="4"/>
      <c r="O88" s="4"/>
    </row>
    <row r="89" ht="19.5" customHeight="1">
      <c r="A89" s="201" t="s">
        <v>73</v>
      </c>
      <c r="B89" s="202">
        <v>55.0</v>
      </c>
      <c r="C89" s="201" t="s">
        <v>74</v>
      </c>
      <c r="D89" s="26"/>
      <c r="E89" s="4"/>
      <c r="F89" s="161"/>
      <c r="G89" s="4"/>
      <c r="H89" s="4"/>
      <c r="I89" s="4"/>
      <c r="J89" s="4"/>
      <c r="K89" s="4"/>
      <c r="L89" s="4"/>
      <c r="M89" s="4"/>
      <c r="N89" s="4"/>
      <c r="O89" s="4"/>
    </row>
    <row r="90" ht="27.0" customHeight="1">
      <c r="A90" s="201"/>
      <c r="B90" s="202"/>
      <c r="C90" s="201"/>
      <c r="D90" s="3"/>
      <c r="E90" s="4"/>
      <c r="F90" s="169"/>
      <c r="G90" s="4"/>
      <c r="H90" s="4"/>
      <c r="I90" s="4"/>
      <c r="J90" s="4"/>
      <c r="K90" s="4"/>
      <c r="L90" s="4"/>
      <c r="M90" s="4"/>
      <c r="N90" s="4"/>
      <c r="O90" s="4"/>
    </row>
    <row r="91" ht="15.0" customHeight="1">
      <c r="A91" s="203" t="s">
        <v>147</v>
      </c>
      <c r="B91" s="204"/>
      <c r="C91" s="205"/>
      <c r="D91" s="3"/>
      <c r="E91" s="4"/>
      <c r="F91" s="169"/>
      <c r="G91" s="4"/>
      <c r="H91" s="4"/>
      <c r="I91" s="4"/>
      <c r="J91" s="4"/>
      <c r="K91" s="4"/>
      <c r="L91" s="4"/>
      <c r="M91" s="4"/>
      <c r="N91" s="4"/>
      <c r="O91" s="4"/>
    </row>
    <row r="92" ht="30.0" customHeight="1">
      <c r="A92" s="205" t="s">
        <v>148</v>
      </c>
      <c r="B92" s="204">
        <v>266.0</v>
      </c>
      <c r="C92" s="205" t="s">
        <v>149</v>
      </c>
      <c r="D92" s="26"/>
      <c r="E92" s="4"/>
      <c r="F92" s="206"/>
      <c r="G92" s="4"/>
      <c r="H92" s="4"/>
      <c r="I92" s="4"/>
      <c r="J92" s="4"/>
      <c r="K92" s="4"/>
      <c r="L92" s="4"/>
      <c r="M92" s="4"/>
      <c r="N92" s="4"/>
      <c r="O92" s="4"/>
    </row>
    <row r="93" ht="29.25" customHeight="1">
      <c r="A93" s="205" t="s">
        <v>150</v>
      </c>
      <c r="B93" s="204">
        <v>350.0</v>
      </c>
      <c r="C93" s="205"/>
      <c r="D93" s="26"/>
      <c r="E93" s="4"/>
      <c r="F93" s="4"/>
      <c r="G93" s="4"/>
      <c r="H93" s="4"/>
      <c r="I93" s="4"/>
      <c r="J93" s="4"/>
      <c r="K93" s="4"/>
      <c r="L93" s="4"/>
      <c r="M93" s="4"/>
      <c r="N93" s="4"/>
      <c r="O93" s="4"/>
    </row>
    <row r="94" ht="29.25" customHeight="1">
      <c r="A94" s="207" t="s">
        <v>151</v>
      </c>
      <c r="B94" s="208">
        <f>sum(B86:B89)</f>
        <v>74</v>
      </c>
      <c r="C94" s="208">
        <f t="shared" ref="C94:C96" si="6">B94*12</f>
        <v>888</v>
      </c>
      <c r="D94" s="3"/>
      <c r="E94" s="4"/>
      <c r="F94" s="4"/>
      <c r="G94" s="4"/>
      <c r="H94" s="4"/>
      <c r="L94" s="4"/>
      <c r="M94" s="4"/>
      <c r="N94" s="4"/>
      <c r="O94" s="4"/>
    </row>
    <row r="95" ht="46.5" customHeight="1">
      <c r="A95" s="209" t="s">
        <v>152</v>
      </c>
      <c r="B95" s="210">
        <f>sum(B87:B93)</f>
        <v>690</v>
      </c>
      <c r="C95" s="210">
        <f t="shared" si="6"/>
        <v>8280</v>
      </c>
      <c r="D95" s="26"/>
    </row>
    <row r="96" ht="71.25" customHeight="1">
      <c r="A96" s="193" t="s">
        <v>153</v>
      </c>
      <c r="B96" s="211">
        <f>B84-B94</f>
        <v>3424.5</v>
      </c>
      <c r="C96" s="211">
        <f t="shared" si="6"/>
        <v>41094</v>
      </c>
      <c r="D96" s="26"/>
    </row>
    <row r="97" ht="37.5" customHeight="1">
      <c r="A97" s="197"/>
      <c r="B97" s="197"/>
      <c r="C97" s="197"/>
      <c r="D97" s="26"/>
    </row>
    <row r="98">
      <c r="A98" s="212" t="s">
        <v>154</v>
      </c>
      <c r="B98" s="31"/>
      <c r="C98" s="32"/>
      <c r="D98" s="26"/>
    </row>
    <row r="99">
      <c r="A99" s="213" t="s">
        <v>155</v>
      </c>
      <c r="B99" s="31"/>
      <c r="C99" s="32"/>
      <c r="D99" s="26"/>
    </row>
    <row r="100" ht="30.75" customHeight="1">
      <c r="A100" s="214" t="s">
        <v>156</v>
      </c>
      <c r="B100" s="215">
        <f>(B34-(B68+B83))</f>
        <v>1219.936667</v>
      </c>
      <c r="C100" s="215">
        <f t="shared" ref="C100:C101" si="7">B100*12</f>
        <v>14639.24</v>
      </c>
      <c r="D100" s="26"/>
    </row>
    <row r="101" ht="45.0" customHeight="1">
      <c r="A101" s="214" t="s">
        <v>157</v>
      </c>
      <c r="B101" s="216">
        <f>(B34-B84) + B95</f>
        <v>1835.936667</v>
      </c>
      <c r="C101" s="215">
        <f t="shared" si="7"/>
        <v>22031.24</v>
      </c>
      <c r="D101" s="26"/>
    </row>
    <row r="102" ht="38.25" customHeight="1">
      <c r="A102" s="20"/>
      <c r="B102" s="22"/>
      <c r="C102" s="22"/>
      <c r="D102" s="26"/>
      <c r="I102" s="4"/>
      <c r="J102" s="4"/>
      <c r="K102" s="4"/>
    </row>
    <row r="103" ht="40.5" customHeight="1">
      <c r="B103" s="4"/>
      <c r="C103" s="4"/>
      <c r="D103" s="3"/>
      <c r="E103" s="4"/>
      <c r="F103" s="4"/>
      <c r="G103" s="4"/>
      <c r="H103" s="4"/>
      <c r="I103" s="4"/>
      <c r="J103" s="4"/>
      <c r="K103" s="4"/>
      <c r="L103" s="4"/>
      <c r="M103" s="4"/>
      <c r="N103" s="4"/>
      <c r="O103" s="4"/>
    </row>
    <row r="104" ht="40.5" customHeight="1">
      <c r="A104" s="4"/>
      <c r="B104" s="4"/>
      <c r="C104" s="4"/>
      <c r="D104" s="3"/>
      <c r="E104" s="4"/>
      <c r="F104" s="4"/>
      <c r="G104" s="4"/>
      <c r="H104" s="4"/>
      <c r="I104" s="4"/>
      <c r="J104" s="4"/>
      <c r="K104" s="4"/>
      <c r="L104" s="4"/>
      <c r="M104" s="4"/>
      <c r="N104" s="4"/>
      <c r="O104" s="4"/>
    </row>
    <row r="105" ht="40.5" customHeight="1">
      <c r="A105" s="217" t="s">
        <v>158</v>
      </c>
      <c r="B105" s="111" t="s">
        <v>159</v>
      </c>
      <c r="C105" s="4"/>
      <c r="D105" s="3"/>
      <c r="E105" s="4"/>
      <c r="F105" s="4"/>
      <c r="G105" s="4"/>
      <c r="H105" s="4"/>
      <c r="I105" s="4"/>
      <c r="J105" s="4"/>
      <c r="K105" s="4"/>
      <c r="L105" s="4"/>
      <c r="M105" s="4"/>
      <c r="N105" s="4"/>
      <c r="O105" s="4"/>
    </row>
    <row r="106" ht="40.5" customHeight="1">
      <c r="A106" s="218" t="s">
        <v>160</v>
      </c>
      <c r="B106" s="219"/>
      <c r="C106" s="4"/>
      <c r="D106" s="3"/>
      <c r="E106" s="4"/>
      <c r="F106" s="4"/>
      <c r="G106" s="4"/>
      <c r="H106" s="4"/>
      <c r="I106" s="4"/>
      <c r="J106" s="4"/>
      <c r="K106" s="4"/>
      <c r="L106" s="4"/>
      <c r="M106" s="4"/>
      <c r="N106" s="4"/>
      <c r="O106" s="4"/>
    </row>
    <row r="107" ht="31.5" customHeight="1">
      <c r="A107" s="218" t="s">
        <v>161</v>
      </c>
      <c r="B107" s="218" t="s">
        <v>162</v>
      </c>
      <c r="C107" s="4"/>
      <c r="D107" s="3"/>
      <c r="E107" s="4"/>
      <c r="F107" s="4"/>
      <c r="G107" s="4"/>
      <c r="H107" s="4"/>
      <c r="I107" s="4"/>
      <c r="J107" s="4"/>
      <c r="K107" s="4"/>
      <c r="L107" s="4"/>
      <c r="M107" s="4"/>
      <c r="N107" s="4"/>
      <c r="O107" s="4"/>
    </row>
    <row r="108" ht="32.25" customHeight="1">
      <c r="A108" s="218" t="s">
        <v>163</v>
      </c>
      <c r="B108" s="220" t="s">
        <v>164</v>
      </c>
      <c r="C108" s="4"/>
      <c r="D108" s="3"/>
      <c r="E108" s="4"/>
      <c r="F108" s="4"/>
      <c r="G108" s="4"/>
      <c r="H108" s="4"/>
      <c r="I108" s="4"/>
      <c r="J108" s="4"/>
      <c r="K108" s="4"/>
      <c r="L108" s="4"/>
      <c r="M108" s="4"/>
      <c r="N108" s="4"/>
      <c r="O108" s="4"/>
    </row>
    <row r="109" ht="21.75" customHeight="1">
      <c r="B109" s="98"/>
      <c r="C109" s="4"/>
      <c r="D109" s="3"/>
      <c r="E109" s="4"/>
      <c r="F109" s="4"/>
      <c r="G109" s="4"/>
      <c r="H109" s="4"/>
      <c r="I109" s="4"/>
      <c r="J109" s="4"/>
      <c r="K109" s="4"/>
      <c r="L109" s="4"/>
      <c r="M109" s="4"/>
      <c r="N109" s="4"/>
      <c r="O109" s="4"/>
    </row>
    <row r="110" ht="51.75" customHeight="1">
      <c r="A110" s="221" t="s">
        <v>165</v>
      </c>
      <c r="D110" s="3"/>
      <c r="E110" s="4"/>
      <c r="F110" s="4"/>
      <c r="G110" s="4"/>
      <c r="H110" s="4"/>
      <c r="I110" s="4"/>
      <c r="J110" s="4"/>
      <c r="K110" s="4"/>
      <c r="L110" s="4"/>
      <c r="M110" s="4"/>
      <c r="N110" s="4"/>
      <c r="O110" s="4"/>
    </row>
    <row r="111">
      <c r="A111" s="4"/>
      <c r="B111" s="98"/>
      <c r="C111" s="4"/>
      <c r="D111" s="3"/>
      <c r="E111" s="4"/>
      <c r="F111" s="4"/>
      <c r="G111" s="4"/>
      <c r="H111" s="4"/>
      <c r="I111" s="4"/>
      <c r="J111" s="4"/>
      <c r="K111" s="4"/>
      <c r="L111" s="4"/>
      <c r="M111" s="4"/>
      <c r="N111" s="4"/>
      <c r="O111" s="4"/>
    </row>
    <row r="112">
      <c r="A112" s="4"/>
      <c r="B112" s="98"/>
      <c r="C112" s="4"/>
      <c r="D112" s="3"/>
      <c r="E112" s="4"/>
      <c r="F112" s="4"/>
      <c r="G112" s="4"/>
      <c r="H112" s="4"/>
      <c r="I112" s="4"/>
      <c r="J112" s="4"/>
      <c r="K112" s="4"/>
      <c r="L112" s="4"/>
      <c r="M112" s="4"/>
      <c r="N112" s="4"/>
      <c r="O112" s="4"/>
    </row>
    <row r="113" ht="18.75" customHeight="1">
      <c r="A113" s="222"/>
      <c r="B113" s="222"/>
      <c r="C113" s="4"/>
      <c r="D113" s="3"/>
      <c r="E113" s="4"/>
      <c r="F113" s="4"/>
      <c r="G113" s="4"/>
      <c r="H113" s="4"/>
      <c r="I113" s="4"/>
      <c r="J113" s="4"/>
      <c r="K113" s="4"/>
      <c r="L113" s="4"/>
      <c r="M113" s="4"/>
      <c r="N113" s="4"/>
      <c r="O113" s="4"/>
    </row>
    <row r="114" ht="36.75" customHeight="1">
      <c r="A114" s="217"/>
      <c r="B114" s="222"/>
      <c r="D114" s="3"/>
      <c r="J114" s="4"/>
      <c r="K114" s="4"/>
      <c r="L114" s="4"/>
      <c r="M114" s="4"/>
      <c r="N114" s="4"/>
      <c r="O114" s="4"/>
    </row>
    <row r="115" ht="34.5" customHeight="1">
      <c r="A115" s="223"/>
      <c r="B115" s="31"/>
      <c r="C115" s="31"/>
      <c r="D115" s="3"/>
      <c r="J115" s="4"/>
      <c r="K115" s="4"/>
      <c r="L115" s="4"/>
      <c r="M115" s="4"/>
      <c r="N115" s="4"/>
      <c r="O115" s="4"/>
    </row>
    <row r="116" ht="35.25" customHeight="1">
      <c r="A116" s="223"/>
      <c r="B116" s="31"/>
      <c r="C116" s="31"/>
      <c r="D116" s="3"/>
      <c r="J116" s="4"/>
      <c r="K116" s="4"/>
      <c r="L116" s="4"/>
      <c r="M116" s="4"/>
      <c r="N116" s="4"/>
      <c r="O116" s="4"/>
    </row>
    <row r="117" ht="45.0" customHeight="1">
      <c r="A117" s="223"/>
      <c r="B117" s="31"/>
      <c r="C117" s="31"/>
      <c r="D117" s="3"/>
      <c r="J117" s="4"/>
      <c r="K117" s="4"/>
      <c r="L117" s="4"/>
      <c r="M117" s="4"/>
      <c r="N117" s="4"/>
      <c r="O117" s="4"/>
    </row>
    <row r="118" ht="39.75" customHeight="1">
      <c r="A118" s="223"/>
      <c r="B118" s="31"/>
      <c r="C118" s="31"/>
      <c r="D118" s="3"/>
      <c r="J118" s="4"/>
      <c r="K118" s="4"/>
      <c r="L118" s="4"/>
      <c r="M118" s="4"/>
      <c r="N118" s="4"/>
      <c r="O118" s="4"/>
    </row>
    <row r="119" ht="51.0" customHeight="1">
      <c r="A119" s="223"/>
      <c r="B119" s="31"/>
      <c r="C119" s="31"/>
      <c r="D119" s="3"/>
      <c r="J119" s="4"/>
      <c r="K119" s="4"/>
      <c r="L119" s="4"/>
      <c r="M119" s="4"/>
      <c r="N119" s="4"/>
      <c r="O119" s="4"/>
    </row>
    <row r="120" ht="51.0" customHeight="1">
      <c r="A120" s="223"/>
      <c r="B120" s="31"/>
      <c r="C120" s="31"/>
      <c r="D120" s="3"/>
      <c r="J120" s="4"/>
      <c r="K120" s="4"/>
      <c r="L120" s="4"/>
      <c r="M120" s="4"/>
      <c r="N120" s="4"/>
      <c r="O120" s="4"/>
    </row>
    <row r="121" ht="66.75" customHeight="1">
      <c r="A121" s="223"/>
      <c r="B121" s="31"/>
      <c r="C121" s="31"/>
      <c r="D121" s="3"/>
      <c r="J121" s="4"/>
      <c r="K121" s="4"/>
      <c r="L121" s="4"/>
      <c r="M121" s="4"/>
      <c r="N121" s="4"/>
      <c r="O121" s="4"/>
    </row>
    <row r="122" ht="52.5" customHeight="1">
      <c r="A122" s="223"/>
      <c r="B122" s="31"/>
      <c r="C122" s="31"/>
      <c r="D122" s="3"/>
      <c r="J122" s="4"/>
      <c r="K122" s="4"/>
      <c r="L122" s="4"/>
      <c r="M122" s="4"/>
      <c r="N122" s="4"/>
      <c r="O122" s="4"/>
    </row>
    <row r="123" ht="54.0" customHeight="1">
      <c r="A123" s="223"/>
      <c r="B123" s="31"/>
      <c r="C123" s="31"/>
      <c r="D123" s="3"/>
      <c r="J123" s="4"/>
      <c r="K123" s="4"/>
      <c r="L123" s="4"/>
      <c r="M123" s="4"/>
      <c r="N123" s="4"/>
      <c r="O123" s="4"/>
    </row>
    <row r="124" ht="87.0" customHeight="1">
      <c r="A124" s="223"/>
      <c r="B124" s="31"/>
      <c r="C124" s="31"/>
      <c r="D124" s="3"/>
      <c r="J124" s="4"/>
      <c r="K124" s="4"/>
      <c r="L124" s="4"/>
      <c r="M124" s="4"/>
      <c r="N124" s="4"/>
      <c r="O124" s="4"/>
    </row>
    <row r="125" ht="114.75" customHeight="1">
      <c r="A125" s="224"/>
      <c r="B125" s="31"/>
      <c r="C125" s="31"/>
      <c r="D125" s="3"/>
      <c r="J125" s="4"/>
      <c r="K125" s="4"/>
      <c r="L125" s="4"/>
      <c r="M125" s="4"/>
      <c r="N125" s="4"/>
      <c r="O125" s="4"/>
    </row>
    <row r="126" ht="54.75" customHeight="1">
      <c r="A126" s="225"/>
      <c r="B126" s="31"/>
      <c r="C126" s="31"/>
      <c r="D126" s="3"/>
      <c r="J126" s="4"/>
      <c r="K126" s="4"/>
      <c r="L126" s="4"/>
      <c r="M126" s="4"/>
      <c r="N126" s="4"/>
      <c r="O126" s="4"/>
    </row>
    <row r="127" ht="60.75" customHeight="1">
      <c r="A127" s="224"/>
      <c r="B127" s="31"/>
      <c r="C127" s="31"/>
      <c r="D127" s="3"/>
      <c r="J127" s="4"/>
      <c r="K127" s="4"/>
      <c r="L127" s="4"/>
      <c r="M127" s="4"/>
      <c r="N127" s="4"/>
      <c r="O127" s="4"/>
    </row>
    <row r="128" ht="60.75" customHeight="1">
      <c r="B128" s="226"/>
      <c r="C128" s="226"/>
      <c r="D128" s="3"/>
      <c r="J128" s="4"/>
      <c r="K128" s="4"/>
      <c r="L128" s="4"/>
      <c r="M128" s="4"/>
      <c r="N128" s="4"/>
      <c r="O128" s="4"/>
    </row>
    <row r="129" ht="26.25" customHeight="1">
      <c r="B129" s="98"/>
      <c r="D129" s="3"/>
      <c r="J129" s="4"/>
      <c r="K129" s="4"/>
      <c r="L129" s="4"/>
      <c r="M129" s="4"/>
      <c r="N129" s="4"/>
      <c r="O129" s="4"/>
    </row>
    <row r="130" ht="26.25" customHeight="1">
      <c r="B130" s="98"/>
      <c r="D130" s="3"/>
      <c r="L130" s="4"/>
      <c r="M130" s="4"/>
      <c r="N130" s="4"/>
      <c r="O130" s="4"/>
    </row>
    <row r="131" ht="26.25" customHeight="1">
      <c r="D131" s="26"/>
    </row>
    <row r="132" ht="38.25" customHeight="1">
      <c r="D132" s="26"/>
    </row>
    <row r="133" ht="38.25" customHeight="1">
      <c r="D133" s="26"/>
    </row>
    <row r="134" ht="50.25" customHeight="1">
      <c r="D134" s="26"/>
    </row>
    <row r="135" ht="48.0" customHeight="1">
      <c r="A135" s="227"/>
      <c r="D135" s="26"/>
    </row>
    <row r="136" ht="44.25" customHeight="1">
      <c r="A136" s="228"/>
      <c r="D136" s="26"/>
    </row>
    <row r="137" ht="52.5" customHeight="1">
      <c r="A137" s="229"/>
      <c r="D137" s="26"/>
    </row>
    <row r="138" ht="46.5" customHeight="1">
      <c r="A138" s="228"/>
      <c r="D138" s="26"/>
    </row>
    <row r="139" ht="55.5" customHeight="1">
      <c r="A139" s="229"/>
      <c r="D139" s="26"/>
    </row>
    <row r="140" ht="60.75" customHeight="1">
      <c r="A140" s="228"/>
      <c r="D140" s="26"/>
    </row>
    <row r="141" ht="36.0" customHeight="1">
      <c r="A141" s="229"/>
      <c r="D141" s="26"/>
    </row>
    <row r="142" ht="42.0" customHeight="1">
      <c r="A142" s="230"/>
      <c r="D142" s="26"/>
    </row>
    <row r="143" ht="60.0" customHeight="1">
      <c r="A143" s="229"/>
      <c r="D143" s="26"/>
    </row>
    <row r="144" ht="71.25" customHeight="1">
      <c r="D144" s="26"/>
    </row>
    <row r="145" ht="40.5" customHeight="1">
      <c r="A145" s="110"/>
      <c r="D145" s="150"/>
      <c r="E145" s="102"/>
      <c r="F145" s="231"/>
    </row>
    <row r="146" ht="71.25" customHeight="1">
      <c r="D146" s="26"/>
      <c r="E146" s="231"/>
      <c r="F146" s="231"/>
    </row>
    <row r="147">
      <c r="D147" s="26"/>
      <c r="E147" s="231"/>
      <c r="F147" s="231"/>
    </row>
    <row r="148" ht="36.0" customHeight="1">
      <c r="D148" s="26"/>
      <c r="E148" s="231"/>
      <c r="F148" s="231"/>
    </row>
    <row r="149" ht="36.0" customHeight="1">
      <c r="D149" s="26"/>
      <c r="E149" s="231"/>
      <c r="F149" s="231"/>
    </row>
    <row r="150" ht="36.0" customHeight="1">
      <c r="D150" s="26"/>
      <c r="E150" s="231"/>
      <c r="F150" s="231"/>
    </row>
    <row r="151" ht="36.0" customHeight="1">
      <c r="D151" s="26"/>
      <c r="E151" s="231"/>
      <c r="F151" s="231"/>
    </row>
    <row r="152" ht="36.0" customHeight="1">
      <c r="D152" s="26"/>
      <c r="E152" s="231"/>
      <c r="F152" s="231"/>
    </row>
    <row r="153" ht="36.0" customHeight="1">
      <c r="D153" s="26"/>
      <c r="E153" s="231"/>
      <c r="F153" s="231"/>
    </row>
    <row r="154" ht="36.0" customHeight="1">
      <c r="D154" s="26"/>
      <c r="E154" s="231"/>
      <c r="F154" s="231"/>
    </row>
    <row r="155" ht="36.0" customHeight="1">
      <c r="D155" s="26"/>
      <c r="E155" s="231"/>
      <c r="F155" s="231"/>
    </row>
    <row r="156" ht="36.0" customHeight="1">
      <c r="D156" s="26"/>
      <c r="E156" s="231"/>
      <c r="F156" s="231"/>
    </row>
    <row r="157" ht="36.0" customHeight="1">
      <c r="D157" s="26"/>
      <c r="E157" s="231"/>
      <c r="F157" s="231"/>
    </row>
    <row r="158" ht="36.0" customHeight="1">
      <c r="D158" s="26"/>
      <c r="E158" s="231"/>
      <c r="F158" s="231"/>
    </row>
    <row r="159" ht="36.0" customHeight="1">
      <c r="D159" s="26"/>
      <c r="E159" s="231"/>
      <c r="F159" s="231"/>
    </row>
    <row r="160" ht="36.0" customHeight="1">
      <c r="D160" s="26"/>
      <c r="E160" s="231"/>
      <c r="F160" s="231"/>
    </row>
    <row r="161" ht="36.0" customHeight="1">
      <c r="D161" s="26"/>
      <c r="E161" s="231"/>
      <c r="F161" s="231"/>
    </row>
    <row r="162" ht="36.0" customHeight="1">
      <c r="D162" s="26"/>
      <c r="E162" s="231"/>
      <c r="F162" s="231"/>
    </row>
    <row r="163" ht="36.0" customHeight="1">
      <c r="D163" s="26"/>
      <c r="E163" s="231"/>
      <c r="F163" s="231"/>
    </row>
    <row r="164" ht="36.0" customHeight="1">
      <c r="D164" s="26"/>
      <c r="E164" s="231"/>
      <c r="F164" s="231"/>
    </row>
    <row r="165" ht="36.0" customHeight="1">
      <c r="D165" s="26"/>
      <c r="E165" s="231"/>
      <c r="F165" s="231"/>
    </row>
    <row r="166" ht="36.0" customHeight="1">
      <c r="D166" s="26"/>
      <c r="E166" s="231"/>
      <c r="F166" s="231"/>
    </row>
    <row r="167" ht="36.0" customHeight="1">
      <c r="D167" s="26"/>
      <c r="E167" s="231"/>
      <c r="F167" s="231"/>
    </row>
    <row r="168" ht="36.0" customHeight="1">
      <c r="D168" s="26"/>
      <c r="E168" s="231"/>
      <c r="F168" s="231"/>
    </row>
    <row r="169" ht="36.0" customHeight="1">
      <c r="D169" s="26"/>
      <c r="E169" s="231"/>
      <c r="F169" s="231"/>
    </row>
    <row r="170" ht="36.0" customHeight="1">
      <c r="D170" s="26"/>
      <c r="E170" s="231"/>
      <c r="F170" s="231"/>
    </row>
  </sheetData>
  <mergeCells count="26">
    <mergeCell ref="A1:B1"/>
    <mergeCell ref="A2:B2"/>
    <mergeCell ref="A7:C7"/>
    <mergeCell ref="A9:C9"/>
    <mergeCell ref="E9:F9"/>
    <mergeCell ref="A10:B10"/>
    <mergeCell ref="A36:C36"/>
    <mergeCell ref="A37:B37"/>
    <mergeCell ref="A70:C70"/>
    <mergeCell ref="A71:B71"/>
    <mergeCell ref="A98:C98"/>
    <mergeCell ref="A99:C99"/>
    <mergeCell ref="A110:C110"/>
    <mergeCell ref="A115:C115"/>
    <mergeCell ref="A123:C123"/>
    <mergeCell ref="A124:C124"/>
    <mergeCell ref="A125:C125"/>
    <mergeCell ref="A126:C126"/>
    <mergeCell ref="A127:C127"/>
    <mergeCell ref="A116:C116"/>
    <mergeCell ref="A117:C117"/>
    <mergeCell ref="A118:C118"/>
    <mergeCell ref="A119:C119"/>
    <mergeCell ref="A120:C120"/>
    <mergeCell ref="A121:C121"/>
    <mergeCell ref="A122:C122"/>
  </mergeCells>
  <hyperlinks>
    <hyperlink r:id="rId1" ref="A60"/>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sheetData>
    <row r="1">
      <c r="A1" s="232" t="str">
        <f>IFERROR(__xludf.DUMMYFUNCTION("ARRAYFORMULA({
  {""Transaction Date"",""Description"",""Amount"",""Budget Category"",""Source""};
  {
    TO_DATE(FILTER('Capitol One Transactions'!A2:A1000, ('Capitol One Transactions'!A2:A1000&lt;&gt;"""") * ('Capitol One Transactions'!D2:D1000&lt;&gt;""Descrip"&amp;"tion""))),
    FILTER('Capitol One Transactions'!D2:D1000, ('Capitol One Transactions'!A2:A1000&lt;&gt;"""") * ('Capitol One Transactions'!D2:D1000&lt;&gt;""Description"")),
    -ABS(VALUE(FILTER('Capitol One Transactions'!F2:F1000, ('Capitol One Transactions'!A2:A10"&amp;"00&lt;&gt;"""") * ('Capitol One Transactions'!D2:D1000&lt;&gt;""Description"")))),
    FILTER('Capitol One Transactions'!G2:G1000, ('Capitol One Transactions'!A2:A1000&lt;&gt;"""") * ('Capitol One Transactions'!D2:D1000&lt;&gt;""Description"")),
    IF(FILTER('Capitol One Transa"&amp;"ctions'!A2:A1000, ('Capitol One Transactions'!A2:A1000&lt;&gt;"""") * ('Capitol One Transactions'!D2:D1000&lt;&gt;""Description""))&lt;&gt;"""",""Capital One"","""")
  };
  {
    TO_DATE(INT(FILTER('Venmo Transactions'!A20:A1000, 'Venmo Transactions'!A20:A1000&lt;&gt;""""))),"&amp;"
    FILTER('Venmo Transactions'!D20:D1000, 'Venmo Transactions'!A20:A1000&lt;&gt;""""),
    FILTER('Venmo Transactions'!G20:G1000, 'Venmo Transactions'!A20:A1000&lt;&gt;""""),
    IFERROR(FILTER('Venmo Transactions'!H20:H1000, 'Venmo Transactions'!A20:A1000&lt;&gt;""""),"&amp;"""Misc""),
    IF(FILTER('Venmo Transactions'!A20:A1000, 'Venmo Transactions'!A20:A1000&lt;&gt;"""")&lt;&gt;"""",""Venmo"","""")
  };
  {
    TO_DATE(FILTER('Other Transactions'!A2:A1000, 'Other Transactions'!A2:A1000&lt;&gt;"""")),
    FILTER('Other Transactions'!B2:B1"&amp;"000, 'Other Transactions'!A2:A1000&lt;&gt;""""),
    FILTER('Other Transactions'!C2:C1000, 'Other Transactions'!A2:A1000&lt;&gt;""""),
    FILTER('Other Transactions'!D2:D1000, 'Other Transactions'!A2:A1000&lt;&gt;""""),
    FILTER('Other Transactions'!E2:E1000, 'Other Tra"&amp;"nsactions'!A2:A1000&lt;&gt;"""")
  }
})"),"Transaction Date")</f>
        <v>Transaction Date</v>
      </c>
      <c r="B1" s="232" t="str">
        <f>IFERROR(__xludf.DUMMYFUNCTION("""COMPUTED_VALUE"""),"Description")</f>
        <v>Description</v>
      </c>
      <c r="C1" s="232" t="str">
        <f>IFERROR(__xludf.DUMMYFUNCTION("""COMPUTED_VALUE"""),"Amount")</f>
        <v>Amount</v>
      </c>
      <c r="D1" s="232" t="str">
        <f>IFERROR(__xludf.DUMMYFUNCTION("""COMPUTED_VALUE"""),"Budget Category")</f>
        <v>Budget Category</v>
      </c>
      <c r="E1" s="232" t="str">
        <f>IFERROR(__xludf.DUMMYFUNCTION("""COMPUTED_VALUE"""),"Source")</f>
        <v>Source</v>
      </c>
      <c r="F1" s="233" t="s">
        <v>166</v>
      </c>
    </row>
    <row r="2">
      <c r="A2" s="234">
        <f>IFERROR(__xludf.DUMMYFUNCTION("""COMPUTED_VALUE"""),46111.0)</f>
        <v>46111</v>
      </c>
      <c r="B2" t="str">
        <f>IFERROR(__xludf.DUMMYFUNCTION("""COMPUTED_VALUE"""),"TST*SIGHTGLASS COFFEE -")</f>
        <v>TST*SIGHTGLASS COFFEE -</v>
      </c>
      <c r="C2">
        <f>IFERROR(__xludf.DUMMYFUNCTION("""COMPUTED_VALUE"""),-5.83)</f>
        <v>-5.83</v>
      </c>
      <c r="D2" t="str">
        <f>IFERROR(__xludf.DUMMYFUNCTION("""COMPUTED_VALUE"""),"Coffee")</f>
        <v>Coffee</v>
      </c>
      <c r="E2" t="str">
        <f>IFERROR(__xludf.DUMMYFUNCTION("""COMPUTED_VALUE"""),"Capital One")</f>
        <v>Capital One</v>
      </c>
      <c r="F2">
        <f t="array" ref="F2:F1000">IF(D2:D1000="","",
  IFERROR(VLOOKUP(D2:D1000,'Living Expenses'!J:K,2,FALSE),0)
)</f>
        <v>84</v>
      </c>
    </row>
    <row r="3">
      <c r="A3" s="234">
        <f>IFERROR(__xludf.DUMMYFUNCTION("""COMPUTED_VALUE"""),46111.0)</f>
        <v>46111</v>
      </c>
      <c r="B3" t="str">
        <f>IFERROR(__xludf.DUMMYFUNCTION("""COMPUTED_VALUE"""),"IKEA SAN FRAN")</f>
        <v>IKEA SAN FRAN</v>
      </c>
      <c r="C3">
        <f>IFERROR(__xludf.DUMMYFUNCTION("""COMPUTED_VALUE"""),-21.67)</f>
        <v>-21.67</v>
      </c>
      <c r="D3" t="str">
        <f>IFERROR(__xludf.DUMMYFUNCTION("""COMPUTED_VALUE"""),"Shopping")</f>
        <v>Shopping</v>
      </c>
      <c r="E3" t="str">
        <f>IFERROR(__xludf.DUMMYFUNCTION("""COMPUTED_VALUE"""),"Capital One")</f>
        <v>Capital One</v>
      </c>
      <c r="F3">
        <v>97.0</v>
      </c>
    </row>
    <row r="4">
      <c r="A4" s="234">
        <f>IFERROR(__xludf.DUMMYFUNCTION("""COMPUTED_VALUE"""),46110.0)</f>
        <v>46110</v>
      </c>
      <c r="B4" t="str">
        <f>IFERROR(__xludf.DUMMYFUNCTION("""COMPUTED_VALUE"""),"CLIPPER TRANSIT FARE")</f>
        <v>CLIPPER TRANSIT FARE</v>
      </c>
      <c r="C4">
        <f>IFERROR(__xludf.DUMMYFUNCTION("""COMPUTED_VALUE"""),-2.85)</f>
        <v>-2.85</v>
      </c>
      <c r="D4" t="str">
        <f>IFERROR(__xludf.DUMMYFUNCTION("""COMPUTED_VALUE"""),"Transportation")</f>
        <v>Transportation</v>
      </c>
      <c r="E4" t="str">
        <f>IFERROR(__xludf.DUMMYFUNCTION("""COMPUTED_VALUE"""),"Capital One")</f>
        <v>Capital One</v>
      </c>
      <c r="F4">
        <v>25.0</v>
      </c>
    </row>
    <row r="5">
      <c r="A5" s="234">
        <f>IFERROR(__xludf.DUMMYFUNCTION("""COMPUTED_VALUE"""),46111.0)</f>
        <v>46111</v>
      </c>
      <c r="B5" t="str">
        <f>IFERROR(__xludf.DUMMYFUNCTION("""COMPUTED_VALUE"""),"SPIN* PENDING.BIRD.CO")</f>
        <v>SPIN* PENDING.BIRD.CO</v>
      </c>
      <c r="C5">
        <f>IFERROR(__xludf.DUMMYFUNCTION("""COMPUTED_VALUE"""),-5.22)</f>
        <v>-5.22</v>
      </c>
      <c r="D5" t="str">
        <f>IFERROR(__xludf.DUMMYFUNCTION("""COMPUTED_VALUE"""),"Transportation")</f>
        <v>Transportation</v>
      </c>
      <c r="E5" t="str">
        <f>IFERROR(__xludf.DUMMYFUNCTION("""COMPUTED_VALUE"""),"Capital One")</f>
        <v>Capital One</v>
      </c>
      <c r="F5">
        <v>25.0</v>
      </c>
    </row>
    <row r="6">
      <c r="A6" s="234">
        <f>IFERROR(__xludf.DUMMYFUNCTION("""COMPUTED_VALUE"""),46111.0)</f>
        <v>46111</v>
      </c>
      <c r="B6" t="str">
        <f>IFERROR(__xludf.DUMMYFUNCTION("""COMPUTED_VALUE"""),"THUMBTACK 9443567618")</f>
        <v>THUMBTACK 9443567618</v>
      </c>
      <c r="C6">
        <f>IFERROR(__xludf.DUMMYFUNCTION("""COMPUTED_VALUE"""),-24.46)</f>
        <v>-24.46</v>
      </c>
      <c r="D6" t="str">
        <f>IFERROR(__xludf.DUMMYFUNCTION("""COMPUTED_VALUE"""),"Business Expenses")</f>
        <v>Business Expenses</v>
      </c>
      <c r="E6" t="str">
        <f>IFERROR(__xludf.DUMMYFUNCTION("""COMPUTED_VALUE"""),"Capital One")</f>
        <v>Capital One</v>
      </c>
      <c r="F6">
        <v>84.0</v>
      </c>
    </row>
    <row r="7">
      <c r="A7" s="234">
        <f>IFERROR(__xludf.DUMMYFUNCTION("""COMPUTED_VALUE"""),46109.0)</f>
        <v>46109</v>
      </c>
      <c r="B7" t="str">
        <f>IFERROR(__xludf.DUMMYFUNCTION("""COMPUTED_VALUE"""),"CAMPUS")</f>
        <v>CAMPUS</v>
      </c>
      <c r="C7">
        <f>IFERROR(__xludf.DUMMYFUNCTION("""COMPUTED_VALUE"""),-33.79)</f>
        <v>-33.79</v>
      </c>
      <c r="D7" t="str">
        <f>IFERROR(__xludf.DUMMYFUNCTION("""COMPUTED_VALUE"""),"Bar/ Alcohol")</f>
        <v>Bar/ Alcohol</v>
      </c>
      <c r="E7" t="str">
        <f>IFERROR(__xludf.DUMMYFUNCTION("""COMPUTED_VALUE"""),"Capital One")</f>
        <v>Capital One</v>
      </c>
      <c r="F7">
        <v>100.0</v>
      </c>
    </row>
    <row r="8">
      <c r="A8" s="234">
        <f>IFERROR(__xludf.DUMMYFUNCTION("""COMPUTED_VALUE"""),46110.0)</f>
        <v>46110</v>
      </c>
      <c r="B8" t="str">
        <f>IFERROR(__xludf.DUMMYFUNCTION("""COMPUTED_VALUE"""),"TRUST THE UNIVERSE")</f>
        <v>TRUST THE UNIVERSE</v>
      </c>
      <c r="C8">
        <f>IFERROR(__xludf.DUMMYFUNCTION("""COMPUTED_VALUE"""),-68.0)</f>
        <v>-68</v>
      </c>
      <c r="D8" t="str">
        <f>IFERROR(__xludf.DUMMYFUNCTION("""COMPUTED_VALUE"""),"Entertainment")</f>
        <v>Entertainment</v>
      </c>
      <c r="E8" t="str">
        <f>IFERROR(__xludf.DUMMYFUNCTION("""COMPUTED_VALUE"""),"Capital One")</f>
        <v>Capital One</v>
      </c>
      <c r="F8">
        <v>47.5</v>
      </c>
    </row>
    <row r="9">
      <c r="A9" s="234">
        <f>IFERROR(__xludf.DUMMYFUNCTION("""COMPUTED_VALUE"""),46109.0)</f>
        <v>46109</v>
      </c>
      <c r="B9" t="str">
        <f>IFERROR(__xludf.DUMMYFUNCTION("""COMPUTED_VALUE"""),"PAYPAL *UBER")</f>
        <v>PAYPAL *UBER</v>
      </c>
      <c r="C9">
        <f>IFERROR(__xludf.DUMMYFUNCTION("""COMPUTED_VALUE"""),-10.91)</f>
        <v>-10.91</v>
      </c>
      <c r="D9" t="str">
        <f>IFERROR(__xludf.DUMMYFUNCTION("""COMPUTED_VALUE"""),"Transportation")</f>
        <v>Transportation</v>
      </c>
      <c r="E9" t="str">
        <f>IFERROR(__xludf.DUMMYFUNCTION("""COMPUTED_VALUE"""),"Capital One")</f>
        <v>Capital One</v>
      </c>
      <c r="F9">
        <v>25.0</v>
      </c>
    </row>
    <row r="10">
      <c r="A10" s="234">
        <f>IFERROR(__xludf.DUMMYFUNCTION("""COMPUTED_VALUE"""),46108.0)</f>
        <v>46108</v>
      </c>
      <c r="B10" t="str">
        <f>IFERROR(__xludf.DUMMYFUNCTION("""COMPUTED_VALUE"""),"CLIPPER TRANSIT FARE")</f>
        <v>CLIPPER TRANSIT FARE</v>
      </c>
      <c r="C10">
        <f>IFERROR(__xludf.DUMMYFUNCTION("""COMPUTED_VALUE"""),-2.85)</f>
        <v>-2.85</v>
      </c>
      <c r="D10" t="str">
        <f>IFERROR(__xludf.DUMMYFUNCTION("""COMPUTED_VALUE"""),"Transportation")</f>
        <v>Transportation</v>
      </c>
      <c r="E10" t="str">
        <f>IFERROR(__xludf.DUMMYFUNCTION("""COMPUTED_VALUE"""),"Capital One")</f>
        <v>Capital One</v>
      </c>
      <c r="F10">
        <v>25.0</v>
      </c>
    </row>
    <row r="11">
      <c r="A11" s="234">
        <f>IFERROR(__xludf.DUMMYFUNCTION("""COMPUTED_VALUE"""),46108.0)</f>
        <v>46108</v>
      </c>
      <c r="B11" t="str">
        <f>IFERROR(__xludf.DUMMYFUNCTION("""COMPUTED_VALUE"""),"MR LIQUOR NORTH POINT")</f>
        <v>MR LIQUOR NORTH POINT</v>
      </c>
      <c r="C11">
        <f>IFERROR(__xludf.DUMMYFUNCTION("""COMPUTED_VALUE"""),-11.94)</f>
        <v>-11.94</v>
      </c>
      <c r="D11" t="str">
        <f>IFERROR(__xludf.DUMMYFUNCTION("""COMPUTED_VALUE"""),"Bar/ Alcohol")</f>
        <v>Bar/ Alcohol</v>
      </c>
      <c r="E11" t="str">
        <f>IFERROR(__xludf.DUMMYFUNCTION("""COMPUTED_VALUE"""),"Capital One")</f>
        <v>Capital One</v>
      </c>
      <c r="F11">
        <v>100.0</v>
      </c>
    </row>
    <row r="12">
      <c r="A12" s="234">
        <f>IFERROR(__xludf.DUMMYFUNCTION("""COMPUTED_VALUE"""),46108.0)</f>
        <v>46108</v>
      </c>
      <c r="B12" t="str">
        <f>IFERROR(__xludf.DUMMYFUNCTION("""COMPUTED_VALUE"""),"Adobe Inc")</f>
        <v>Adobe Inc</v>
      </c>
      <c r="C12">
        <f>IFERROR(__xludf.DUMMYFUNCTION("""COMPUTED_VALUE"""),-39.99)</f>
        <v>-39.99</v>
      </c>
      <c r="D12" t="str">
        <f>IFERROR(__xludf.DUMMYFUNCTION("""COMPUTED_VALUE"""),"Subscriptions")</f>
        <v>Subscriptions</v>
      </c>
      <c r="E12" t="str">
        <f>IFERROR(__xludf.DUMMYFUNCTION("""COMPUTED_VALUE"""),"Capital One")</f>
        <v>Capital One</v>
      </c>
      <c r="F12">
        <v>132.0</v>
      </c>
    </row>
    <row r="13">
      <c r="A13" s="234">
        <f>IFERROR(__xludf.DUMMYFUNCTION("""COMPUTED_VALUE"""),46108.0)</f>
        <v>46108</v>
      </c>
      <c r="B13" t="str">
        <f>IFERROR(__xludf.DUMMYFUNCTION("""COMPUTED_VALUE"""),"TESLA, INC.")</f>
        <v>TESLA, INC.</v>
      </c>
      <c r="C13">
        <f>IFERROR(__xludf.DUMMYFUNCTION("""COMPUTED_VALUE"""),-7.95)</f>
        <v>-7.95</v>
      </c>
      <c r="D13" t="str">
        <f>IFERROR(__xludf.DUMMYFUNCTION("""COMPUTED_VALUE"""),"Transportation")</f>
        <v>Transportation</v>
      </c>
      <c r="E13" t="str">
        <f>IFERROR(__xludf.DUMMYFUNCTION("""COMPUTED_VALUE"""),"Capital One")</f>
        <v>Capital One</v>
      </c>
      <c r="F13">
        <v>25.0</v>
      </c>
    </row>
    <row r="14">
      <c r="A14" s="234">
        <f>IFERROR(__xludf.DUMMYFUNCTION("""COMPUTED_VALUE"""),46107.0)</f>
        <v>46107</v>
      </c>
      <c r="B14" t="str">
        <f>IFERROR(__xludf.DUMMYFUNCTION("""COMPUTED_VALUE"""),"WALGREENS #5599")</f>
        <v>WALGREENS #5599</v>
      </c>
      <c r="C14">
        <f>IFERROR(__xludf.DUMMYFUNCTION("""COMPUTED_VALUE"""),-26.51)</f>
        <v>-26.51</v>
      </c>
      <c r="D14" t="str">
        <f>IFERROR(__xludf.DUMMYFUNCTION("""COMPUTED_VALUE"""),"Misc")</f>
        <v>Misc</v>
      </c>
      <c r="E14" t="str">
        <f>IFERROR(__xludf.DUMMYFUNCTION("""COMPUTED_VALUE"""),"Capital One")</f>
        <v>Capital One</v>
      </c>
      <c r="F14">
        <v>30.0</v>
      </c>
    </row>
    <row r="15">
      <c r="A15" s="234">
        <f>IFERROR(__xludf.DUMMYFUNCTION("""COMPUTED_VALUE"""),46105.0)</f>
        <v>46105</v>
      </c>
      <c r="B15" t="str">
        <f>IFERROR(__xludf.DUMMYFUNCTION("""COMPUTED_VALUE"""),"SQ *CAFE #27255 UNION SQU")</f>
        <v>SQ *CAFE #27255 UNION SQU</v>
      </c>
      <c r="C15">
        <f>IFERROR(__xludf.DUMMYFUNCTION("""COMPUTED_VALUE"""),-6.75)</f>
        <v>-6.75</v>
      </c>
      <c r="D15" t="str">
        <f>IFERROR(__xludf.DUMMYFUNCTION("""COMPUTED_VALUE"""),"Dining")</f>
        <v>Dining</v>
      </c>
      <c r="E15" t="str">
        <f>IFERROR(__xludf.DUMMYFUNCTION("""COMPUTED_VALUE"""),"Capital One")</f>
        <v>Capital One</v>
      </c>
      <c r="F15">
        <v>320.0</v>
      </c>
    </row>
    <row r="16">
      <c r="A16" s="234">
        <f>IFERROR(__xludf.DUMMYFUNCTION("""COMPUTED_VALUE"""),46104.0)</f>
        <v>46104</v>
      </c>
      <c r="B16" t="str">
        <f>IFERROR(__xludf.DUMMYFUNCTION("""COMPUTED_VALUE"""),"THUMBTACK 9443567618")</f>
        <v>THUMBTACK 9443567618</v>
      </c>
      <c r="C16">
        <f>IFERROR(__xludf.DUMMYFUNCTION("""COMPUTED_VALUE"""),-32.34)</f>
        <v>-32.34</v>
      </c>
      <c r="D16" t="str">
        <f>IFERROR(__xludf.DUMMYFUNCTION("""COMPUTED_VALUE"""),"Business Expenses")</f>
        <v>Business Expenses</v>
      </c>
      <c r="E16" t="str">
        <f>IFERROR(__xludf.DUMMYFUNCTION("""COMPUTED_VALUE"""),"Capital One")</f>
        <v>Capital One</v>
      </c>
      <c r="F16">
        <v>84.0</v>
      </c>
    </row>
    <row r="17">
      <c r="A17" s="234">
        <f>IFERROR(__xludf.DUMMYFUNCTION("""COMPUTED_VALUE"""),46104.0)</f>
        <v>46104</v>
      </c>
      <c r="B17" t="str">
        <f>IFERROR(__xludf.DUMMYFUNCTION("""COMPUTED_VALUE"""),"BI-RITE MARKET")</f>
        <v>BI-RITE MARKET</v>
      </c>
      <c r="C17">
        <f>IFERROR(__xludf.DUMMYFUNCTION("""COMPUTED_VALUE"""),-11.96)</f>
        <v>-11.96</v>
      </c>
      <c r="D17" t="str">
        <f>IFERROR(__xludf.DUMMYFUNCTION("""COMPUTED_VALUE"""),"Shopping")</f>
        <v>Shopping</v>
      </c>
      <c r="E17" t="str">
        <f>IFERROR(__xludf.DUMMYFUNCTION("""COMPUTED_VALUE"""),"Capital One")</f>
        <v>Capital One</v>
      </c>
      <c r="F17">
        <v>97.0</v>
      </c>
    </row>
    <row r="18">
      <c r="A18" s="234">
        <f>IFERROR(__xludf.DUMMYFUNCTION("""COMPUTED_VALUE"""),46105.0)</f>
        <v>46105</v>
      </c>
      <c r="B18" t="str">
        <f>IFERROR(__xludf.DUMMYFUNCTION("""COMPUTED_VALUE"""),"Google One")</f>
        <v>Google One</v>
      </c>
      <c r="C18">
        <f>IFERROR(__xludf.DUMMYFUNCTION("""COMPUTED_VALUE"""),-9.99)</f>
        <v>-9.99</v>
      </c>
      <c r="D18" t="str">
        <f>IFERROR(__xludf.DUMMYFUNCTION("""COMPUTED_VALUE"""),"Entertainment")</f>
        <v>Entertainment</v>
      </c>
      <c r="E18" t="str">
        <f>IFERROR(__xludf.DUMMYFUNCTION("""COMPUTED_VALUE"""),"Capital One")</f>
        <v>Capital One</v>
      </c>
      <c r="F18">
        <v>47.5</v>
      </c>
    </row>
    <row r="19">
      <c r="A19" s="234">
        <f>IFERROR(__xludf.DUMMYFUNCTION("""COMPUTED_VALUE"""),46103.0)</f>
        <v>46103</v>
      </c>
      <c r="B19" t="str">
        <f>IFERROR(__xludf.DUMMYFUNCTION("""COMPUTED_VALUE"""),"POLK STREET MARKET")</f>
        <v>POLK STREET MARKET</v>
      </c>
      <c r="C19">
        <f>IFERROR(__xludf.DUMMYFUNCTION("""COMPUTED_VALUE"""),-19.16)</f>
        <v>-19.16</v>
      </c>
      <c r="D19" t="str">
        <f>IFERROR(__xludf.DUMMYFUNCTION("""COMPUTED_VALUE"""),"Shopping")</f>
        <v>Shopping</v>
      </c>
      <c r="E19" t="str">
        <f>IFERROR(__xludf.DUMMYFUNCTION("""COMPUTED_VALUE"""),"Capital One")</f>
        <v>Capital One</v>
      </c>
      <c r="F19">
        <v>97.0</v>
      </c>
    </row>
    <row r="20">
      <c r="A20" s="234">
        <f>IFERROR(__xludf.DUMMYFUNCTION("""COMPUTED_VALUE"""),46103.0)</f>
        <v>46103</v>
      </c>
      <c r="B20" t="str">
        <f>IFERROR(__xludf.DUMMYFUNCTION("""COMPUTED_VALUE"""),"THUMBTACK 9443567618")</f>
        <v>THUMBTACK 9443567618</v>
      </c>
      <c r="C20">
        <f>IFERROR(__xludf.DUMMYFUNCTION("""COMPUTED_VALUE"""),-17.66)</f>
        <v>-17.66</v>
      </c>
      <c r="D20" t="str">
        <f>IFERROR(__xludf.DUMMYFUNCTION("""COMPUTED_VALUE"""),"Business Expenses")</f>
        <v>Business Expenses</v>
      </c>
      <c r="E20" t="str">
        <f>IFERROR(__xludf.DUMMYFUNCTION("""COMPUTED_VALUE"""),"Capital One")</f>
        <v>Capital One</v>
      </c>
      <c r="F20">
        <v>84.0</v>
      </c>
    </row>
    <row r="21">
      <c r="A21" s="234">
        <f>IFERROR(__xludf.DUMMYFUNCTION("""COMPUTED_VALUE"""),46103.0)</f>
        <v>46103</v>
      </c>
      <c r="B21" t="str">
        <f>IFERROR(__xludf.DUMMYFUNCTION("""COMPUTED_VALUE"""),"COLE HARDWARE")</f>
        <v>COLE HARDWARE</v>
      </c>
      <c r="C21">
        <f>IFERROR(__xludf.DUMMYFUNCTION("""COMPUTED_VALUE"""),-17.77)</f>
        <v>-17.77</v>
      </c>
      <c r="D21" t="str">
        <f>IFERROR(__xludf.DUMMYFUNCTION("""COMPUTED_VALUE"""),"Shopping")</f>
        <v>Shopping</v>
      </c>
      <c r="E21" t="str">
        <f>IFERROR(__xludf.DUMMYFUNCTION("""COMPUTED_VALUE"""),"Capital One")</f>
        <v>Capital One</v>
      </c>
      <c r="F21">
        <v>97.0</v>
      </c>
    </row>
    <row r="22">
      <c r="A22" s="234">
        <f>IFERROR(__xludf.DUMMYFUNCTION("""COMPUTED_VALUE"""),46103.0)</f>
        <v>46103</v>
      </c>
      <c r="B22" t="str">
        <f>IFERROR(__xludf.DUMMYFUNCTION("""COMPUTED_VALUE"""),"SQ *PHILZ COFFEE")</f>
        <v>SQ *PHILZ COFFEE</v>
      </c>
      <c r="C22">
        <f>IFERROR(__xludf.DUMMYFUNCTION("""COMPUTED_VALUE"""),-6.6)</f>
        <v>-6.6</v>
      </c>
      <c r="D22" t="str">
        <f>IFERROR(__xludf.DUMMYFUNCTION("""COMPUTED_VALUE"""),"Coffee")</f>
        <v>Coffee</v>
      </c>
      <c r="E22" t="str">
        <f>IFERROR(__xludf.DUMMYFUNCTION("""COMPUTED_VALUE"""),"Capital One")</f>
        <v>Capital One</v>
      </c>
      <c r="F22">
        <v>84.0</v>
      </c>
    </row>
    <row r="23">
      <c r="A23" s="234">
        <f>IFERROR(__xludf.DUMMYFUNCTION("""COMPUTED_VALUE"""),46100.0)</f>
        <v>46100</v>
      </c>
      <c r="B23" t="str">
        <f>IFERROR(__xludf.DUMMYFUNCTION("""COMPUTED_VALUE"""),"TST*HAYES VALLEY BAKEWOR")</f>
        <v>TST*HAYES VALLEY BAKEWOR</v>
      </c>
      <c r="C23">
        <f>IFERROR(__xludf.DUMMYFUNCTION("""COMPUTED_VALUE"""),-5.75)</f>
        <v>-5.75</v>
      </c>
      <c r="D23" t="str">
        <f>IFERROR(__xludf.DUMMYFUNCTION("""COMPUTED_VALUE"""),"Dining")</f>
        <v>Dining</v>
      </c>
      <c r="E23" t="str">
        <f>IFERROR(__xludf.DUMMYFUNCTION("""COMPUTED_VALUE"""),"Capital One")</f>
        <v>Capital One</v>
      </c>
      <c r="F23">
        <v>320.0</v>
      </c>
    </row>
    <row r="24">
      <c r="A24" s="234">
        <f>IFERROR(__xludf.DUMMYFUNCTION("""COMPUTED_VALUE"""),46101.0)</f>
        <v>46101</v>
      </c>
      <c r="B24" t="str">
        <f>IFERROR(__xludf.DUMMYFUNCTION("""COMPUTED_VALUE"""),"HOSTINGER* HOSTINGER.C")</f>
        <v>HOSTINGER* HOSTINGER.C</v>
      </c>
      <c r="C24">
        <f>IFERROR(__xludf.DUMMYFUNCTION("""COMPUTED_VALUE"""),-17.99)</f>
        <v>-17.99</v>
      </c>
      <c r="D24" t="str">
        <f>IFERROR(__xludf.DUMMYFUNCTION("""COMPUTED_VALUE"""),"Internet")</f>
        <v>Internet</v>
      </c>
      <c r="E24" t="str">
        <f>IFERROR(__xludf.DUMMYFUNCTION("""COMPUTED_VALUE"""),"Capital One")</f>
        <v>Capital One</v>
      </c>
      <c r="F24">
        <v>0.0</v>
      </c>
    </row>
    <row r="25">
      <c r="A25" s="234">
        <f>IFERROR(__xludf.DUMMYFUNCTION("""COMPUTED_VALUE"""),46100.0)</f>
        <v>46100</v>
      </c>
      <c r="B25" t="str">
        <f>IFERROR(__xludf.DUMMYFUNCTION("""COMPUTED_VALUE"""),"AMAZON MKTPL*BD8E23Z50")</f>
        <v>AMAZON MKTPL*BD8E23Z50</v>
      </c>
      <c r="C25">
        <f>IFERROR(__xludf.DUMMYFUNCTION("""COMPUTED_VALUE"""),-75.95)</f>
        <v>-75.95</v>
      </c>
      <c r="D25" t="str">
        <f>IFERROR(__xludf.DUMMYFUNCTION("""COMPUTED_VALUE"""),"Shopping")</f>
        <v>Shopping</v>
      </c>
      <c r="E25" t="str">
        <f>IFERROR(__xludf.DUMMYFUNCTION("""COMPUTED_VALUE"""),"Capital One")</f>
        <v>Capital One</v>
      </c>
      <c r="F25">
        <v>97.0</v>
      </c>
    </row>
    <row r="26">
      <c r="A26" s="234">
        <f>IFERROR(__xludf.DUMMYFUNCTION("""COMPUTED_VALUE"""),46099.0)</f>
        <v>46099</v>
      </c>
      <c r="B26" t="str">
        <f>IFERROR(__xludf.DUMMYFUNCTION("""COMPUTED_VALUE"""),"SQ *SAINT FRANK COFFEE")</f>
        <v>SQ *SAINT FRANK COFFEE</v>
      </c>
      <c r="C26">
        <f>IFERROR(__xludf.DUMMYFUNCTION("""COMPUTED_VALUE"""),-6.25)</f>
        <v>-6.25</v>
      </c>
      <c r="D26" t="str">
        <f>IFERROR(__xludf.DUMMYFUNCTION("""COMPUTED_VALUE"""),"Coffee")</f>
        <v>Coffee</v>
      </c>
      <c r="E26" t="str">
        <f>IFERROR(__xludf.DUMMYFUNCTION("""COMPUTED_VALUE"""),"Capital One")</f>
        <v>Capital One</v>
      </c>
      <c r="F26">
        <v>84.0</v>
      </c>
    </row>
    <row r="27">
      <c r="A27" s="234">
        <f>IFERROR(__xludf.DUMMYFUNCTION("""COMPUTED_VALUE"""),46099.0)</f>
        <v>46099</v>
      </c>
      <c r="B27" t="str">
        <f>IFERROR(__xludf.DUMMYFUNCTION("""COMPUTED_VALUE"""),"BAYWHEE*1 RIDE")</f>
        <v>BAYWHEE*1 RIDE</v>
      </c>
      <c r="C27">
        <f>IFERROR(__xludf.DUMMYFUNCTION("""COMPUTED_VALUE"""),-9.59)</f>
        <v>-9.59</v>
      </c>
      <c r="D27" t="str">
        <f>IFERROR(__xludf.DUMMYFUNCTION("""COMPUTED_VALUE"""),"Transportation")</f>
        <v>Transportation</v>
      </c>
      <c r="E27" t="str">
        <f>IFERROR(__xludf.DUMMYFUNCTION("""COMPUTED_VALUE"""),"Capital One")</f>
        <v>Capital One</v>
      </c>
      <c r="F27">
        <v>25.0</v>
      </c>
    </row>
    <row r="28">
      <c r="A28" s="234">
        <f>IFERROR(__xludf.DUMMYFUNCTION("""COMPUTED_VALUE"""),46098.0)</f>
        <v>46098</v>
      </c>
      <c r="B28" t="str">
        <f>IFERROR(__xludf.DUMMYFUNCTION("""COMPUTED_VALUE"""),"LEBEAU NOB HILL MARKET")</f>
        <v>LEBEAU NOB HILL MARKET</v>
      </c>
      <c r="C28">
        <f>IFERROR(__xludf.DUMMYFUNCTION("""COMPUTED_VALUE"""),-13.84)</f>
        <v>-13.84</v>
      </c>
      <c r="D28" t="str">
        <f>IFERROR(__xludf.DUMMYFUNCTION("""COMPUTED_VALUE"""),"Shopping")</f>
        <v>Shopping</v>
      </c>
      <c r="E28" t="str">
        <f>IFERROR(__xludf.DUMMYFUNCTION("""COMPUTED_VALUE"""),"Capital One")</f>
        <v>Capital One</v>
      </c>
      <c r="F28">
        <v>97.0</v>
      </c>
    </row>
    <row r="29">
      <c r="A29" s="234">
        <f>IFERROR(__xludf.DUMMYFUNCTION("""COMPUTED_VALUE"""),46098.0)</f>
        <v>46098</v>
      </c>
      <c r="B29" t="str">
        <f>IFERROR(__xludf.DUMMYFUNCTION("""COMPUTED_VALUE"""),"CLIPPER TRANSIT FARE")</f>
        <v>CLIPPER TRANSIT FARE</v>
      </c>
      <c r="C29">
        <f>IFERROR(__xludf.DUMMYFUNCTION("""COMPUTED_VALUE"""),-2.55)</f>
        <v>-2.55</v>
      </c>
      <c r="D29" t="str">
        <f>IFERROR(__xludf.DUMMYFUNCTION("""COMPUTED_VALUE"""),"Transportation")</f>
        <v>Transportation</v>
      </c>
      <c r="E29" t="str">
        <f>IFERROR(__xludf.DUMMYFUNCTION("""COMPUTED_VALUE"""),"Capital One")</f>
        <v>Capital One</v>
      </c>
      <c r="F29">
        <v>25.0</v>
      </c>
    </row>
    <row r="30">
      <c r="A30" s="234">
        <f>IFERROR(__xludf.DUMMYFUNCTION("""COMPUTED_VALUE"""),46098.0)</f>
        <v>46098</v>
      </c>
      <c r="B30" t="str">
        <f>IFERROR(__xludf.DUMMYFUNCTION("""COMPUTED_VALUE"""),"AMAZON MKTPL*BP5GQ5UA0")</f>
        <v>AMAZON MKTPL*BP5GQ5UA0</v>
      </c>
      <c r="C30">
        <f>IFERROR(__xludf.DUMMYFUNCTION("""COMPUTED_VALUE"""),-44.83)</f>
        <v>-44.83</v>
      </c>
      <c r="D30" t="str">
        <f>IFERROR(__xludf.DUMMYFUNCTION("""COMPUTED_VALUE"""),"Shopping")</f>
        <v>Shopping</v>
      </c>
      <c r="E30" t="str">
        <f>IFERROR(__xludf.DUMMYFUNCTION("""COMPUTED_VALUE"""),"Capital One")</f>
        <v>Capital One</v>
      </c>
      <c r="F30">
        <v>97.0</v>
      </c>
    </row>
    <row r="31">
      <c r="A31" s="234">
        <f>IFERROR(__xludf.DUMMYFUNCTION("""COMPUTED_VALUE"""),46097.0)</f>
        <v>46097</v>
      </c>
      <c r="B31" t="str">
        <f>IFERROR(__xludf.DUMMYFUNCTION("""COMPUTED_VALUE"""),"AMAZON PRIME*9N4U39UX3")</f>
        <v>AMAZON PRIME*9N4U39UX3</v>
      </c>
      <c r="C31">
        <f>IFERROR(__xludf.DUMMYFUNCTION("""COMPUTED_VALUE"""),-1.08)</f>
        <v>-1.08</v>
      </c>
      <c r="D31" t="str">
        <f>IFERROR(__xludf.DUMMYFUNCTION("""COMPUTED_VALUE"""),"Shopping")</f>
        <v>Shopping</v>
      </c>
      <c r="E31" t="str">
        <f>IFERROR(__xludf.DUMMYFUNCTION("""COMPUTED_VALUE"""),"Capital One")</f>
        <v>Capital One</v>
      </c>
      <c r="F31">
        <v>97.0</v>
      </c>
    </row>
    <row r="32">
      <c r="A32" s="234">
        <f>IFERROR(__xludf.DUMMYFUNCTION("""COMPUTED_VALUE"""),46096.0)</f>
        <v>46096</v>
      </c>
      <c r="B32" t="str">
        <f>IFERROR(__xludf.DUMMYFUNCTION("""COMPUTED_VALUE"""),"USPS CHANGE OF ADDRESS")</f>
        <v>USPS CHANGE OF ADDRESS</v>
      </c>
      <c r="C32">
        <f>IFERROR(__xludf.DUMMYFUNCTION("""COMPUTED_VALUE"""),-1.25)</f>
        <v>-1.25</v>
      </c>
      <c r="D32" t="str">
        <f>IFERROR(__xludf.DUMMYFUNCTION("""COMPUTED_VALUE"""),"Other Services")</f>
        <v>Other Services</v>
      </c>
      <c r="E32" t="str">
        <f>IFERROR(__xludf.DUMMYFUNCTION("""COMPUTED_VALUE"""),"Capital One")</f>
        <v>Capital One</v>
      </c>
      <c r="F32">
        <v>18.0</v>
      </c>
    </row>
    <row r="33">
      <c r="A33" s="234">
        <f>IFERROR(__xludf.DUMMYFUNCTION("""COMPUTED_VALUE"""),46096.0)</f>
        <v>46096</v>
      </c>
      <c r="B33" t="str">
        <f>IFERROR(__xludf.DUMMYFUNCTION("""COMPUTED_VALUE"""),"TARGET 00027664")</f>
        <v>TARGET 00027664</v>
      </c>
      <c r="C33">
        <f>IFERROR(__xludf.DUMMYFUNCTION("""COMPUTED_VALUE"""),-244.15)</f>
        <v>-244.15</v>
      </c>
      <c r="D33" t="str">
        <f>IFERROR(__xludf.DUMMYFUNCTION("""COMPUTED_VALUE"""),"Shopping")</f>
        <v>Shopping</v>
      </c>
      <c r="E33" t="str">
        <f>IFERROR(__xludf.DUMMYFUNCTION("""COMPUTED_VALUE"""),"Capital One")</f>
        <v>Capital One</v>
      </c>
      <c r="F33">
        <v>97.0</v>
      </c>
    </row>
    <row r="34">
      <c r="A34" s="234">
        <f>IFERROR(__xludf.DUMMYFUNCTION("""COMPUTED_VALUE"""),46096.0)</f>
        <v>46096</v>
      </c>
      <c r="B34" s="235" t="str">
        <f>IFERROR(__xludf.DUMMYFUNCTION("""COMPUTED_VALUE"""),"APPLE.COM/BILL")</f>
        <v>APPLE.COM/BILL</v>
      </c>
      <c r="C34">
        <f>IFERROR(__xludf.DUMMYFUNCTION("""COMPUTED_VALUE"""),-2.99)</f>
        <v>-2.99</v>
      </c>
      <c r="D34" t="str">
        <f>IFERROR(__xludf.DUMMYFUNCTION("""COMPUTED_VALUE"""),"Entertainment")</f>
        <v>Entertainment</v>
      </c>
      <c r="E34" t="str">
        <f>IFERROR(__xludf.DUMMYFUNCTION("""COMPUTED_VALUE"""),"Capital One")</f>
        <v>Capital One</v>
      </c>
      <c r="F34">
        <v>47.5</v>
      </c>
    </row>
    <row r="35">
      <c r="A35" s="234">
        <f>IFERROR(__xludf.DUMMYFUNCTION("""COMPUTED_VALUE"""),46096.0)</f>
        <v>46096</v>
      </c>
      <c r="B35" t="str">
        <f>IFERROR(__xludf.DUMMYFUNCTION("""COMPUTED_VALUE"""),"TST* SUPER DUPER BURGERS")</f>
        <v>TST* SUPER DUPER BURGERS</v>
      </c>
      <c r="C35">
        <f>IFERROR(__xludf.DUMMYFUNCTION("""COMPUTED_VALUE"""),-17.08)</f>
        <v>-17.08</v>
      </c>
      <c r="D35" t="str">
        <f>IFERROR(__xludf.DUMMYFUNCTION("""COMPUTED_VALUE"""),"Dining")</f>
        <v>Dining</v>
      </c>
      <c r="E35" t="str">
        <f>IFERROR(__xludf.DUMMYFUNCTION("""COMPUTED_VALUE"""),"Capital One")</f>
        <v>Capital One</v>
      </c>
      <c r="F35">
        <v>320.0</v>
      </c>
    </row>
    <row r="36">
      <c r="A36" s="234">
        <f>IFERROR(__xludf.DUMMYFUNCTION("""COMPUTED_VALUE"""),46095.0)</f>
        <v>46095</v>
      </c>
      <c r="B36" t="str">
        <f>IFERROR(__xludf.DUMMYFUNCTION("""COMPUTED_VALUE"""),"LIME*RIDE 4G6N")</f>
        <v>LIME*RIDE 4G6N</v>
      </c>
      <c r="C36">
        <f>IFERROR(__xludf.DUMMYFUNCTION("""COMPUTED_VALUE"""),-7.58)</f>
        <v>-7.58</v>
      </c>
      <c r="D36" t="str">
        <f>IFERROR(__xludf.DUMMYFUNCTION("""COMPUTED_VALUE"""),"Entertainment")</f>
        <v>Entertainment</v>
      </c>
      <c r="E36" t="str">
        <f>IFERROR(__xludf.DUMMYFUNCTION("""COMPUTED_VALUE"""),"Capital One")</f>
        <v>Capital One</v>
      </c>
      <c r="F36">
        <v>47.5</v>
      </c>
    </row>
    <row r="37">
      <c r="A37" s="234">
        <f>IFERROR(__xludf.DUMMYFUNCTION("""COMPUTED_VALUE"""),46094.0)</f>
        <v>46094</v>
      </c>
      <c r="B37" t="str">
        <f>IFERROR(__xludf.DUMMYFUNCTION("""COMPUTED_VALUE"""),"LEBEAU NOB HILL MARKET")</f>
        <v>LEBEAU NOB HILL MARKET</v>
      </c>
      <c r="C37">
        <f>IFERROR(__xludf.DUMMYFUNCTION("""COMPUTED_VALUE"""),-9.75)</f>
        <v>-9.75</v>
      </c>
      <c r="D37" t="str">
        <f>IFERROR(__xludf.DUMMYFUNCTION("""COMPUTED_VALUE"""),"Groceries")</f>
        <v>Groceries</v>
      </c>
      <c r="E37" t="str">
        <f>IFERROR(__xludf.DUMMYFUNCTION("""COMPUTED_VALUE"""),"Capital One")</f>
        <v>Capital One</v>
      </c>
      <c r="F37">
        <v>500.0</v>
      </c>
    </row>
    <row r="38">
      <c r="A38" s="234">
        <f>IFERROR(__xludf.DUMMYFUNCTION("""COMPUTED_VALUE"""),46093.0)</f>
        <v>46093</v>
      </c>
      <c r="B38" t="str">
        <f>IFERROR(__xludf.DUMMYFUNCTION("""COMPUTED_VALUE"""),"SEETICKET* HIPPIE SA")</f>
        <v>SEETICKET* HIPPIE SA</v>
      </c>
      <c r="C38">
        <f>IFERROR(__xludf.DUMMYFUNCTION("""COMPUTED_VALUE"""),-74.44)</f>
        <v>-74.44</v>
      </c>
      <c r="D38" t="str">
        <f>IFERROR(__xludf.DUMMYFUNCTION("""COMPUTED_VALUE"""),"Entertainment")</f>
        <v>Entertainment</v>
      </c>
      <c r="E38" t="str">
        <f>IFERROR(__xludf.DUMMYFUNCTION("""COMPUTED_VALUE"""),"Capital One")</f>
        <v>Capital One</v>
      </c>
      <c r="F38">
        <v>47.5</v>
      </c>
    </row>
    <row r="39">
      <c r="A39" s="234">
        <f>IFERROR(__xludf.DUMMYFUNCTION("""COMPUTED_VALUE"""),46091.0)</f>
        <v>46091</v>
      </c>
      <c r="B39" t="str">
        <f>IFERROR(__xludf.DUMMYFUNCTION("""COMPUTED_VALUE"""),"SHELL OIL 57444215909")</f>
        <v>SHELL OIL 57444215909</v>
      </c>
      <c r="C39">
        <f>IFERROR(__xludf.DUMMYFUNCTION("""COMPUTED_VALUE"""),-24.94)</f>
        <v>-24.94</v>
      </c>
      <c r="D39" t="str">
        <f>IFERROR(__xludf.DUMMYFUNCTION("""COMPUTED_VALUE"""),"Gas/Automotive")</f>
        <v>Gas/Automotive</v>
      </c>
      <c r="E39" t="str">
        <f>IFERROR(__xludf.DUMMYFUNCTION("""COMPUTED_VALUE"""),"Capital One")</f>
        <v>Capital One</v>
      </c>
      <c r="F39">
        <v>0.0</v>
      </c>
    </row>
    <row r="40">
      <c r="A40" s="234">
        <f>IFERROR(__xludf.DUMMYFUNCTION("""COMPUTED_VALUE"""),46092.0)</f>
        <v>46092</v>
      </c>
      <c r="B40" t="str">
        <f>IFERROR(__xludf.DUMMYFUNCTION("""COMPUTED_VALUE"""),"COLE HARDWARE")</f>
        <v>COLE HARDWARE</v>
      </c>
      <c r="C40">
        <f>IFERROR(__xludf.DUMMYFUNCTION("""COMPUTED_VALUE"""),-32.04)</f>
        <v>-32.04</v>
      </c>
      <c r="D40" t="str">
        <f>IFERROR(__xludf.DUMMYFUNCTION("""COMPUTED_VALUE"""),"Shopping")</f>
        <v>Shopping</v>
      </c>
      <c r="E40" t="str">
        <f>IFERROR(__xludf.DUMMYFUNCTION("""COMPUTED_VALUE"""),"Capital One")</f>
        <v>Capital One</v>
      </c>
      <c r="F40">
        <v>97.0</v>
      </c>
    </row>
    <row r="41">
      <c r="A41" s="234">
        <f>IFERROR(__xludf.DUMMYFUNCTION("""COMPUTED_VALUE"""),46092.0)</f>
        <v>46092</v>
      </c>
      <c r="B41" t="str">
        <f>IFERROR(__xludf.DUMMYFUNCTION("""COMPUTED_VALUE"""),"POLK STREET MARKET")</f>
        <v>POLK STREET MARKET</v>
      </c>
      <c r="C41">
        <f>IFERROR(__xludf.DUMMYFUNCTION("""COMPUTED_VALUE"""),-19.44)</f>
        <v>-19.44</v>
      </c>
      <c r="D41" t="str">
        <f>IFERROR(__xludf.DUMMYFUNCTION("""COMPUTED_VALUE"""),"Groceries")</f>
        <v>Groceries</v>
      </c>
      <c r="E41" t="str">
        <f>IFERROR(__xludf.DUMMYFUNCTION("""COMPUTED_VALUE"""),"Capital One")</f>
        <v>Capital One</v>
      </c>
      <c r="F41">
        <v>500.0</v>
      </c>
    </row>
    <row r="42">
      <c r="A42" s="234">
        <f>IFERROR(__xludf.DUMMYFUNCTION("""COMPUTED_VALUE"""),46092.0)</f>
        <v>46092</v>
      </c>
      <c r="B42" t="str">
        <f>IFERROR(__xludf.DUMMYFUNCTION("""COMPUTED_VALUE"""),"ENTERPRISE RENT-A-CAR")</f>
        <v>ENTERPRISE RENT-A-CAR</v>
      </c>
      <c r="C42">
        <f>IFERROR(__xludf.DUMMYFUNCTION("""COMPUTED_VALUE"""),-172.5)</f>
        <v>-172.5</v>
      </c>
      <c r="D42" t="str">
        <f>IFERROR(__xludf.DUMMYFUNCTION("""COMPUTED_VALUE"""),"Transportation")</f>
        <v>Transportation</v>
      </c>
      <c r="E42" t="str">
        <f>IFERROR(__xludf.DUMMYFUNCTION("""COMPUTED_VALUE"""),"Capital One")</f>
        <v>Capital One</v>
      </c>
      <c r="F42">
        <v>25.0</v>
      </c>
    </row>
    <row r="43">
      <c r="A43" s="234">
        <f>IFERROR(__xludf.DUMMYFUNCTION("""COMPUTED_VALUE"""),46091.0)</f>
        <v>46091</v>
      </c>
      <c r="B43" t="str">
        <f>IFERROR(__xludf.DUMMYFUNCTION("""COMPUTED_VALUE"""),"THE HOME DEPOT #1092")</f>
        <v>THE HOME DEPOT #1092</v>
      </c>
      <c r="C43">
        <f>IFERROR(__xludf.DUMMYFUNCTION("""COMPUTED_VALUE"""),-21.81)</f>
        <v>-21.81</v>
      </c>
      <c r="D43" t="str">
        <f>IFERROR(__xludf.DUMMYFUNCTION("""COMPUTED_VALUE"""),"Shopping")</f>
        <v>Shopping</v>
      </c>
      <c r="E43" t="str">
        <f>IFERROR(__xludf.DUMMYFUNCTION("""COMPUTED_VALUE"""),"Capital One")</f>
        <v>Capital One</v>
      </c>
      <c r="F43">
        <v>97.0</v>
      </c>
    </row>
    <row r="44">
      <c r="A44" s="234">
        <f>IFERROR(__xludf.DUMMYFUNCTION("""COMPUTED_VALUE"""),46091.0)</f>
        <v>46091</v>
      </c>
      <c r="B44" t="str">
        <f>IFERROR(__xludf.DUMMYFUNCTION("""COMPUTED_VALUE"""),"SAFEWAY #3031")</f>
        <v>SAFEWAY #3031</v>
      </c>
      <c r="C44">
        <f>IFERROR(__xludf.DUMMYFUNCTION("""COMPUTED_VALUE"""),-20.84)</f>
        <v>-20.84</v>
      </c>
      <c r="D44" t="str">
        <f>IFERROR(__xludf.DUMMYFUNCTION("""COMPUTED_VALUE"""),"Groceries")</f>
        <v>Groceries</v>
      </c>
      <c r="E44" t="str">
        <f>IFERROR(__xludf.DUMMYFUNCTION("""COMPUTED_VALUE"""),"Capital One")</f>
        <v>Capital One</v>
      </c>
      <c r="F44">
        <v>500.0</v>
      </c>
    </row>
    <row r="45">
      <c r="A45" s="234">
        <f>IFERROR(__xludf.DUMMYFUNCTION("""COMPUTED_VALUE"""),46091.0)</f>
        <v>46091</v>
      </c>
      <c r="B45" t="str">
        <f>IFERROR(__xludf.DUMMYFUNCTION("""COMPUTED_VALUE"""),"COAST VILLAGE FUEL DEPOT")</f>
        <v>COAST VILLAGE FUEL DEPOT</v>
      </c>
      <c r="C45">
        <f>IFERROR(__xludf.DUMMYFUNCTION("""COMPUTED_VALUE"""),-4.84)</f>
        <v>-4.84</v>
      </c>
      <c r="D45" t="str">
        <f>IFERROR(__xludf.DUMMYFUNCTION("""COMPUTED_VALUE"""),"Gas/Automotive")</f>
        <v>Gas/Automotive</v>
      </c>
      <c r="E45" t="str">
        <f>IFERROR(__xludf.DUMMYFUNCTION("""COMPUTED_VALUE"""),"Capital One")</f>
        <v>Capital One</v>
      </c>
      <c r="F45">
        <v>0.0</v>
      </c>
    </row>
    <row r="46">
      <c r="A46" s="234">
        <f>IFERROR(__xludf.DUMMYFUNCTION("""COMPUTED_VALUE"""),46091.0)</f>
        <v>46091</v>
      </c>
      <c r="B46" t="str">
        <f>IFERROR(__xludf.DUMMYFUNCTION("""COMPUTED_VALUE"""),"THUMBTACK 9443567618")</f>
        <v>THUMBTACK 9443567618</v>
      </c>
      <c r="C46">
        <f>IFERROR(__xludf.DUMMYFUNCTION("""COMPUTED_VALUE"""),-32.34)</f>
        <v>-32.34</v>
      </c>
      <c r="D46" t="str">
        <f>IFERROR(__xludf.DUMMYFUNCTION("""COMPUTED_VALUE"""),"Business Expenses")</f>
        <v>Business Expenses</v>
      </c>
      <c r="E46" t="str">
        <f>IFERROR(__xludf.DUMMYFUNCTION("""COMPUTED_VALUE"""),"Capital One")</f>
        <v>Capital One</v>
      </c>
      <c r="F46">
        <v>84.0</v>
      </c>
    </row>
    <row r="47">
      <c r="A47" s="234">
        <f>IFERROR(__xludf.DUMMYFUNCTION("""COMPUTED_VALUE"""),46091.0)</f>
        <v>46091</v>
      </c>
      <c r="B47" t="str">
        <f>IFERROR(__xludf.DUMMYFUNCTION("""COMPUTED_VALUE"""),"APCO GASOLINE")</f>
        <v>APCO GASOLINE</v>
      </c>
      <c r="C47">
        <f>IFERROR(__xludf.DUMMYFUNCTION("""COMPUTED_VALUE"""),-58.3)</f>
        <v>-58.3</v>
      </c>
      <c r="D47" t="str">
        <f>IFERROR(__xludf.DUMMYFUNCTION("""COMPUTED_VALUE"""),"Gas/Automotive")</f>
        <v>Gas/Automotive</v>
      </c>
      <c r="E47" t="str">
        <f>IFERROR(__xludf.DUMMYFUNCTION("""COMPUTED_VALUE"""),"Capital One")</f>
        <v>Capital One</v>
      </c>
      <c r="F47">
        <v>0.0</v>
      </c>
    </row>
    <row r="48">
      <c r="A48" s="234">
        <f>IFERROR(__xludf.DUMMYFUNCTION("""COMPUTED_VALUE"""),46091.0)</f>
        <v>46091</v>
      </c>
      <c r="B48" t="str">
        <f>IFERROR(__xludf.DUMMYFUNCTION("""COMPUTED_VALUE"""),"FULL FRAME INSURANCE")</f>
        <v>FULL FRAME INSURANCE</v>
      </c>
      <c r="C48">
        <f>IFERROR(__xludf.DUMMYFUNCTION("""COMPUTED_VALUE"""),-366.0)</f>
        <v>-366</v>
      </c>
      <c r="D48" t="str">
        <f>IFERROR(__xludf.DUMMYFUNCTION("""COMPUTED_VALUE"""),"Insurance")</f>
        <v>Insurance</v>
      </c>
      <c r="E48" t="str">
        <f>IFERROR(__xludf.DUMMYFUNCTION("""COMPUTED_VALUE"""),"Capital One")</f>
        <v>Capital One</v>
      </c>
      <c r="F48">
        <v>23.0</v>
      </c>
    </row>
    <row r="49">
      <c r="A49" s="234">
        <f>IFERROR(__xludf.DUMMYFUNCTION("""COMPUTED_VALUE"""),46088.0)</f>
        <v>46088</v>
      </c>
      <c r="B49" t="str">
        <f>IFERROR(__xludf.DUMMYFUNCTION("""COMPUTED_VALUE"""),"SQ *CONSIDERED COFFEE")</f>
        <v>SQ *CONSIDERED COFFEE</v>
      </c>
      <c r="C49">
        <f>IFERROR(__xludf.DUMMYFUNCTION("""COMPUTED_VALUE"""),-7.0)</f>
        <v>-7</v>
      </c>
      <c r="D49" t="str">
        <f>IFERROR(__xludf.DUMMYFUNCTION("""COMPUTED_VALUE"""),"Coffee")</f>
        <v>Coffee</v>
      </c>
      <c r="E49" t="str">
        <f>IFERROR(__xludf.DUMMYFUNCTION("""COMPUTED_VALUE"""),"Capital One")</f>
        <v>Capital One</v>
      </c>
      <c r="F49">
        <v>84.0</v>
      </c>
    </row>
    <row r="50">
      <c r="A50" s="234">
        <f>IFERROR(__xludf.DUMMYFUNCTION("""COMPUTED_VALUE"""),46088.0)</f>
        <v>46088</v>
      </c>
      <c r="B50" s="235" t="str">
        <f>IFERROR(__xludf.DUMMYFUNCTION("""COMPUTED_VALUE"""),"APPLE.COM/BILL")</f>
        <v>APPLE.COM/BILL</v>
      </c>
      <c r="C50">
        <f>IFERROR(__xludf.DUMMYFUNCTION("""COMPUTED_VALUE"""),-1.99)</f>
        <v>-1.99</v>
      </c>
      <c r="D50" t="str">
        <f>IFERROR(__xludf.DUMMYFUNCTION("""COMPUTED_VALUE"""),"Entertainment")</f>
        <v>Entertainment</v>
      </c>
      <c r="E50" t="str">
        <f>IFERROR(__xludf.DUMMYFUNCTION("""COMPUTED_VALUE"""),"Capital One")</f>
        <v>Capital One</v>
      </c>
      <c r="F50">
        <v>47.5</v>
      </c>
    </row>
    <row r="51">
      <c r="A51" s="234">
        <f>IFERROR(__xludf.DUMMYFUNCTION("""COMPUTED_VALUE"""),46085.0)</f>
        <v>46085</v>
      </c>
      <c r="B51" t="str">
        <f>IFERROR(__xludf.DUMMYFUNCTION("""COMPUTED_VALUE"""),"TST*SUSHI TERI - SB")</f>
        <v>TST*SUSHI TERI - SB</v>
      </c>
      <c r="C51">
        <f>IFERROR(__xludf.DUMMYFUNCTION("""COMPUTED_VALUE"""),-40.71)</f>
        <v>-40.71</v>
      </c>
      <c r="D51" t="str">
        <f>IFERROR(__xludf.DUMMYFUNCTION("""COMPUTED_VALUE"""),"Dining")</f>
        <v>Dining</v>
      </c>
      <c r="E51" t="str">
        <f>IFERROR(__xludf.DUMMYFUNCTION("""COMPUTED_VALUE"""),"Capital One")</f>
        <v>Capital One</v>
      </c>
      <c r="F51">
        <v>320.0</v>
      </c>
    </row>
    <row r="52">
      <c r="A52" s="234">
        <f>IFERROR(__xludf.DUMMYFUNCTION("""COMPUTED_VALUE"""),46085.0)</f>
        <v>46085</v>
      </c>
      <c r="B52" t="str">
        <f>IFERROR(__xludf.DUMMYFUNCTION("""COMPUTED_VALUE"""),"EBAY O*02-14328-76669")</f>
        <v>EBAY O*02-14328-76669</v>
      </c>
      <c r="C52">
        <f>IFERROR(__xludf.DUMMYFUNCTION("""COMPUTED_VALUE"""),-49.16)</f>
        <v>-49.16</v>
      </c>
      <c r="D52" t="str">
        <f>IFERROR(__xludf.DUMMYFUNCTION("""COMPUTED_VALUE"""),"Business Expenses")</f>
        <v>Business Expenses</v>
      </c>
      <c r="E52" t="str">
        <f>IFERROR(__xludf.DUMMYFUNCTION("""COMPUTED_VALUE"""),"Capital One")</f>
        <v>Capital One</v>
      </c>
      <c r="F52">
        <v>84.0</v>
      </c>
    </row>
    <row r="53">
      <c r="A53" s="234">
        <f>IFERROR(__xludf.DUMMYFUNCTION("""COMPUTED_VALUE"""),46085.0)</f>
        <v>46085</v>
      </c>
      <c r="B53" t="str">
        <f>IFERROR(__xludf.DUMMYFUNCTION("""COMPUTED_VALUE"""),"SQ *HANDLEBAR CAFE INC.")</f>
        <v>SQ *HANDLEBAR CAFE INC.</v>
      </c>
      <c r="C53">
        <f>IFERROR(__xludf.DUMMYFUNCTION("""COMPUTED_VALUE"""),-4.5)</f>
        <v>-4.5</v>
      </c>
      <c r="D53" t="str">
        <f>IFERROR(__xludf.DUMMYFUNCTION("""COMPUTED_VALUE"""),"Coffee")</f>
        <v>Coffee</v>
      </c>
      <c r="E53" t="str">
        <f>IFERROR(__xludf.DUMMYFUNCTION("""COMPUTED_VALUE"""),"Capital One")</f>
        <v>Capital One</v>
      </c>
      <c r="F53">
        <v>84.0</v>
      </c>
    </row>
    <row r="54">
      <c r="A54" s="234">
        <f>IFERROR(__xludf.DUMMYFUNCTION("""COMPUTED_VALUE"""),46084.0)</f>
        <v>46084</v>
      </c>
      <c r="B54" t="str">
        <f>IFERROR(__xludf.DUMMYFUNCTION("""COMPUTED_VALUE"""),"SFMTA CIT PYMNT WEB")</f>
        <v>SFMTA CIT PYMNT WEB</v>
      </c>
      <c r="C54">
        <f>IFERROR(__xludf.DUMMYFUNCTION("""COMPUTED_VALUE"""),-8.0)</f>
        <v>-8</v>
      </c>
      <c r="D54" t="str">
        <f>IFERROR(__xludf.DUMMYFUNCTION("""COMPUTED_VALUE"""),"Misc")</f>
        <v>Misc</v>
      </c>
      <c r="E54" t="str">
        <f>IFERROR(__xludf.DUMMYFUNCTION("""COMPUTED_VALUE"""),"Capital One")</f>
        <v>Capital One</v>
      </c>
      <c r="F54">
        <v>30.0</v>
      </c>
    </row>
    <row r="55">
      <c r="A55" s="234">
        <f>IFERROR(__xludf.DUMMYFUNCTION("""COMPUTED_VALUE"""),46085.0)</f>
        <v>46085</v>
      </c>
      <c r="B55" t="str">
        <f>IFERROR(__xludf.DUMMYFUNCTION("""COMPUTED_VALUE"""),"REPLICATE")</f>
        <v>REPLICATE</v>
      </c>
      <c r="C55">
        <f>IFERROR(__xludf.DUMMYFUNCTION("""COMPUTED_VALUE"""),-2.03)</f>
        <v>-2.03</v>
      </c>
      <c r="D55" t="str">
        <f>IFERROR(__xludf.DUMMYFUNCTION("""COMPUTED_VALUE"""),"AI Fees")</f>
        <v>AI Fees</v>
      </c>
      <c r="E55" t="str">
        <f>IFERROR(__xludf.DUMMYFUNCTION("""COMPUTED_VALUE"""),"Capital One")</f>
        <v>Capital One</v>
      </c>
      <c r="F55">
        <v>10.0</v>
      </c>
    </row>
    <row r="56">
      <c r="A56" s="234">
        <f>IFERROR(__xludf.DUMMYFUNCTION("""COMPUTED_VALUE"""),46083.0)</f>
        <v>46083</v>
      </c>
      <c r="B56" t="str">
        <f>IFERROR(__xludf.DUMMYFUNCTION("""COMPUTED_VALUE"""),"COSTCO WHSE #0474")</f>
        <v>COSTCO WHSE #0474</v>
      </c>
      <c r="C56">
        <f>IFERROR(__xludf.DUMMYFUNCTION("""COMPUTED_VALUE"""),-3.26)</f>
        <v>-3.26</v>
      </c>
      <c r="D56" t="str">
        <f>IFERROR(__xludf.DUMMYFUNCTION("""COMPUTED_VALUE"""),"Groceries")</f>
        <v>Groceries</v>
      </c>
      <c r="E56" t="str">
        <f>IFERROR(__xludf.DUMMYFUNCTION("""COMPUTED_VALUE"""),"Capital One")</f>
        <v>Capital One</v>
      </c>
      <c r="F56">
        <v>500.0</v>
      </c>
    </row>
    <row r="57">
      <c r="A57" s="234">
        <f>IFERROR(__xludf.DUMMYFUNCTION("""COMPUTED_VALUE"""),46141.0)</f>
        <v>46141</v>
      </c>
      <c r="B57" t="str">
        <f>IFERROR(__xludf.DUMMYFUNCTION("""COMPUTED_VALUE"""),"SQ *ANOTHER CAFE")</f>
        <v>SQ *ANOTHER CAFE</v>
      </c>
      <c r="C57">
        <f>IFERROR(__xludf.DUMMYFUNCTION("""COMPUTED_VALUE"""),-1.5)</f>
        <v>-1.5</v>
      </c>
      <c r="D57" t="str">
        <f>IFERROR(__xludf.DUMMYFUNCTION("""COMPUTED_VALUE"""),"Coffee")</f>
        <v>Coffee</v>
      </c>
      <c r="E57" t="str">
        <f>IFERROR(__xludf.DUMMYFUNCTION("""COMPUTED_VALUE"""),"Capital One")</f>
        <v>Capital One</v>
      </c>
      <c r="F57">
        <v>84.0</v>
      </c>
    </row>
    <row r="58">
      <c r="A58" s="234">
        <f>IFERROR(__xludf.DUMMYFUNCTION("""COMPUTED_VALUE"""),46141.0)</f>
        <v>46141</v>
      </c>
      <c r="B58" t="str">
        <f>IFERROR(__xludf.DUMMYFUNCTION("""COMPUTED_VALUE"""),"SQ *ANOTHER CAFE")</f>
        <v>SQ *ANOTHER CAFE</v>
      </c>
      <c r="C58">
        <f>IFERROR(__xludf.DUMMYFUNCTION("""COMPUTED_VALUE"""),-6.75)</f>
        <v>-6.75</v>
      </c>
      <c r="D58" t="str">
        <f>IFERROR(__xludf.DUMMYFUNCTION("""COMPUTED_VALUE"""),"Coffee")</f>
        <v>Coffee</v>
      </c>
      <c r="E58" t="str">
        <f>IFERROR(__xludf.DUMMYFUNCTION("""COMPUTED_VALUE"""),"Capital One")</f>
        <v>Capital One</v>
      </c>
      <c r="F58">
        <v>84.0</v>
      </c>
    </row>
    <row r="59">
      <c r="A59" s="234">
        <f>IFERROR(__xludf.DUMMYFUNCTION("""COMPUTED_VALUE"""),46141.0)</f>
        <v>46141</v>
      </c>
      <c r="B59" s="235" t="str">
        <f>IFERROR(__xludf.DUMMYFUNCTION("""COMPUTED_VALUE"""),"APPLE.COM/BILL")</f>
        <v>APPLE.COM/BILL</v>
      </c>
      <c r="C59">
        <f>IFERROR(__xludf.DUMMYFUNCTION("""COMPUTED_VALUE"""),-4.99)</f>
        <v>-4.99</v>
      </c>
      <c r="D59" t="str">
        <f>IFERROR(__xludf.DUMMYFUNCTION("""COMPUTED_VALUE"""),"Internet")</f>
        <v>Internet</v>
      </c>
      <c r="E59" t="str">
        <f>IFERROR(__xludf.DUMMYFUNCTION("""COMPUTED_VALUE"""),"Capital One")</f>
        <v>Capital One</v>
      </c>
      <c r="F59">
        <v>0.0</v>
      </c>
    </row>
    <row r="60">
      <c r="A60" s="234">
        <f>IFERROR(__xludf.DUMMYFUNCTION("""COMPUTED_VALUE"""),46139.0)</f>
        <v>46139</v>
      </c>
      <c r="B60" t="str">
        <f>IFERROR(__xludf.DUMMYFUNCTION("""COMPUTED_VALUE"""),"PAYPAL *UBER")</f>
        <v>PAYPAL *UBER</v>
      </c>
      <c r="C60">
        <f>IFERROR(__xludf.DUMMYFUNCTION("""COMPUTED_VALUE"""),-10.77)</f>
        <v>-10.77</v>
      </c>
      <c r="D60" t="str">
        <f>IFERROR(__xludf.DUMMYFUNCTION("""COMPUTED_VALUE"""),"Transportation")</f>
        <v>Transportation</v>
      </c>
      <c r="E60" t="str">
        <f>IFERROR(__xludf.DUMMYFUNCTION("""COMPUTED_VALUE"""),"Capital One")</f>
        <v>Capital One</v>
      </c>
      <c r="F60">
        <v>25.0</v>
      </c>
    </row>
    <row r="61">
      <c r="A61" s="234">
        <f>IFERROR(__xludf.DUMMYFUNCTION("""COMPUTED_VALUE"""),46139.0)</f>
        <v>46139</v>
      </c>
      <c r="B61" t="str">
        <f>IFERROR(__xludf.DUMMYFUNCTION("""COMPUTED_VALUE"""),"Adobe Inc")</f>
        <v>Adobe Inc</v>
      </c>
      <c r="C61">
        <f>IFERROR(__xludf.DUMMYFUNCTION("""COMPUTED_VALUE"""),-39.99)</f>
        <v>-39.99</v>
      </c>
      <c r="D61" t="str">
        <f>IFERROR(__xludf.DUMMYFUNCTION("""COMPUTED_VALUE"""),"Subscriptions")</f>
        <v>Subscriptions</v>
      </c>
      <c r="E61" t="str">
        <f>IFERROR(__xludf.DUMMYFUNCTION("""COMPUTED_VALUE"""),"Capital One")</f>
        <v>Capital One</v>
      </c>
      <c r="F61">
        <v>132.0</v>
      </c>
    </row>
    <row r="62">
      <c r="A62" s="234">
        <f>IFERROR(__xludf.DUMMYFUNCTION("""COMPUTED_VALUE"""),46137.0)</f>
        <v>46137</v>
      </c>
      <c r="B62" t="str">
        <f>IFERROR(__xludf.DUMMYFUNCTION("""COMPUTED_VALUE"""),"CLIPPER MOBILE")</f>
        <v>CLIPPER MOBILE</v>
      </c>
      <c r="C62">
        <f>IFERROR(__xludf.DUMMYFUNCTION("""COMPUTED_VALUE"""),-20.0)</f>
        <v>-20</v>
      </c>
      <c r="D62" t="str">
        <f>IFERROR(__xludf.DUMMYFUNCTION("""COMPUTED_VALUE"""),"Transportation")</f>
        <v>Transportation</v>
      </c>
      <c r="E62" t="str">
        <f>IFERROR(__xludf.DUMMYFUNCTION("""COMPUTED_VALUE"""),"Capital One")</f>
        <v>Capital One</v>
      </c>
      <c r="F62">
        <v>25.0</v>
      </c>
    </row>
    <row r="63">
      <c r="A63" s="234">
        <f>IFERROR(__xludf.DUMMYFUNCTION("""COMPUTED_VALUE"""),46136.0)</f>
        <v>46136</v>
      </c>
      <c r="B63" t="str">
        <f>IFERROR(__xludf.DUMMYFUNCTION("""COMPUTED_VALUE"""),"Google One")</f>
        <v>Google One</v>
      </c>
      <c r="C63">
        <f>IFERROR(__xludf.DUMMYFUNCTION("""COMPUTED_VALUE"""),-9.99)</f>
        <v>-9.99</v>
      </c>
      <c r="D63" t="str">
        <f>IFERROR(__xludf.DUMMYFUNCTION("""COMPUTED_VALUE"""),"Subscriptions")</f>
        <v>Subscriptions</v>
      </c>
      <c r="E63" t="str">
        <f>IFERROR(__xludf.DUMMYFUNCTION("""COMPUTED_VALUE"""),"Capital One")</f>
        <v>Capital One</v>
      </c>
      <c r="F63">
        <v>132.0</v>
      </c>
    </row>
    <row r="64">
      <c r="A64" s="234">
        <f>IFERROR(__xludf.DUMMYFUNCTION("""COMPUTED_VALUE"""),46134.0)</f>
        <v>46134</v>
      </c>
      <c r="B64" t="str">
        <f>IFERROR(__xludf.DUMMYFUNCTION("""COMPUTED_VALUE"""),"TST*HARAZ COFFEE- FRANKL")</f>
        <v>TST*HARAZ COFFEE- FRANKL</v>
      </c>
      <c r="C64">
        <f>IFERROR(__xludf.DUMMYFUNCTION("""COMPUTED_VALUE"""),-3.81)</f>
        <v>-3.81</v>
      </c>
      <c r="D64" t="str">
        <f>IFERROR(__xludf.DUMMYFUNCTION("""COMPUTED_VALUE"""),"Coffee")</f>
        <v>Coffee</v>
      </c>
      <c r="E64" t="str">
        <f>IFERROR(__xludf.DUMMYFUNCTION("""COMPUTED_VALUE"""),"Capital One")</f>
        <v>Capital One</v>
      </c>
      <c r="F64">
        <v>84.0</v>
      </c>
    </row>
    <row r="65">
      <c r="A65" s="234">
        <f>IFERROR(__xludf.DUMMYFUNCTION("""COMPUTED_VALUE"""),46135.0)</f>
        <v>46135</v>
      </c>
      <c r="B65" t="str">
        <f>IFERROR(__xludf.DUMMYFUNCTION("""COMPUTED_VALUE"""),"NOVA PRO")</f>
        <v>NOVA PRO</v>
      </c>
      <c r="C65">
        <f>IFERROR(__xludf.DUMMYFUNCTION("""COMPUTED_VALUE"""),-12.99)</f>
        <v>-12.99</v>
      </c>
      <c r="D65" t="str">
        <f>IFERROR(__xludf.DUMMYFUNCTION("""COMPUTED_VALUE"""),"Subscriptions")</f>
        <v>Subscriptions</v>
      </c>
      <c r="E65" t="str">
        <f>IFERROR(__xludf.DUMMYFUNCTION("""COMPUTED_VALUE"""),"Capital One")</f>
        <v>Capital One</v>
      </c>
      <c r="F65">
        <v>132.0</v>
      </c>
    </row>
    <row r="66">
      <c r="A66" s="234">
        <f>IFERROR(__xludf.DUMMYFUNCTION("""COMPUTED_VALUE"""),46134.0)</f>
        <v>46134</v>
      </c>
      <c r="B66" t="str">
        <f>IFERROR(__xludf.DUMMYFUNCTION("""COMPUTED_VALUE"""),"FANDANGO *")</f>
        <v>FANDANGO *</v>
      </c>
      <c r="C66">
        <f>IFERROR(__xludf.DUMMYFUNCTION("""COMPUTED_VALUE"""),-15.88)</f>
        <v>-15.88</v>
      </c>
      <c r="D66" t="str">
        <f>IFERROR(__xludf.DUMMYFUNCTION("""COMPUTED_VALUE"""),"Subscriptions")</f>
        <v>Subscriptions</v>
      </c>
      <c r="E66" t="str">
        <f>IFERROR(__xludf.DUMMYFUNCTION("""COMPUTED_VALUE"""),"Capital One")</f>
        <v>Capital One</v>
      </c>
      <c r="F66">
        <v>132.0</v>
      </c>
    </row>
    <row r="67">
      <c r="A67" s="234">
        <f>IFERROR(__xludf.DUMMYFUNCTION("""COMPUTED_VALUE"""),46132.0)</f>
        <v>46132</v>
      </c>
      <c r="B67" t="str">
        <f>IFERROR(__xludf.DUMMYFUNCTION("""COMPUTED_VALUE"""),"HOSTINGER* HOSTINGER.C")</f>
        <v>HOSTINGER* HOSTINGER.C</v>
      </c>
      <c r="C67">
        <f>IFERROR(__xludf.DUMMYFUNCTION("""COMPUTED_VALUE"""),-17.99)</f>
        <v>-17.99</v>
      </c>
      <c r="D67" t="str">
        <f>IFERROR(__xludf.DUMMYFUNCTION("""COMPUTED_VALUE"""),"Internet")</f>
        <v>Internet</v>
      </c>
      <c r="E67" t="str">
        <f>IFERROR(__xludf.DUMMYFUNCTION("""COMPUTED_VALUE"""),"Capital One")</f>
        <v>Capital One</v>
      </c>
      <c r="F67">
        <v>0.0</v>
      </c>
    </row>
    <row r="68">
      <c r="A68" s="234">
        <f>IFERROR(__xludf.DUMMYFUNCTION("""COMPUTED_VALUE"""),46131.0)</f>
        <v>46131</v>
      </c>
      <c r="B68" t="str">
        <f>IFERROR(__xludf.DUMMYFUNCTION("""COMPUTED_VALUE"""),"PAYPAL *UBER")</f>
        <v>PAYPAL *UBER</v>
      </c>
      <c r="C68">
        <f>IFERROR(__xludf.DUMMYFUNCTION("""COMPUTED_VALUE"""),-14.43)</f>
        <v>-14.43</v>
      </c>
      <c r="D68" t="str">
        <f>IFERROR(__xludf.DUMMYFUNCTION("""COMPUTED_VALUE"""),"Transportation")</f>
        <v>Transportation</v>
      </c>
      <c r="E68" t="str">
        <f>IFERROR(__xludf.DUMMYFUNCTION("""COMPUTED_VALUE"""),"Capital One")</f>
        <v>Capital One</v>
      </c>
      <c r="F68">
        <v>25.0</v>
      </c>
    </row>
    <row r="69">
      <c r="A69" s="234">
        <f>IFERROR(__xludf.DUMMYFUNCTION("""COMPUTED_VALUE"""),46130.0)</f>
        <v>46130</v>
      </c>
      <c r="B69" t="str">
        <f>IFERROR(__xludf.DUMMYFUNCTION("""COMPUTED_VALUE"""),"POLK STREET MARKET")</f>
        <v>POLK STREET MARKET</v>
      </c>
      <c r="C69">
        <f>IFERROR(__xludf.DUMMYFUNCTION("""COMPUTED_VALUE"""),-21.43)</f>
        <v>-21.43</v>
      </c>
      <c r="D69" t="str">
        <f>IFERROR(__xludf.DUMMYFUNCTION("""COMPUTED_VALUE"""),"Shopping")</f>
        <v>Shopping</v>
      </c>
      <c r="E69" t="str">
        <f>IFERROR(__xludf.DUMMYFUNCTION("""COMPUTED_VALUE"""),"Capital One")</f>
        <v>Capital One</v>
      </c>
      <c r="F69">
        <v>97.0</v>
      </c>
    </row>
    <row r="70">
      <c r="A70" s="234">
        <f>IFERROR(__xludf.DUMMYFUNCTION("""COMPUTED_VALUE"""),46131.0)</f>
        <v>46131</v>
      </c>
      <c r="B70" t="str">
        <f>IFERROR(__xludf.DUMMYFUNCTION("""COMPUTED_VALUE"""),"TESLA, INC.")</f>
        <v>TESLA, INC.</v>
      </c>
      <c r="C70">
        <f>IFERROR(__xludf.DUMMYFUNCTION("""COMPUTED_VALUE"""),-7.22)</f>
        <v>-7.22</v>
      </c>
      <c r="D70" t="str">
        <f>IFERROR(__xludf.DUMMYFUNCTION("""COMPUTED_VALUE"""),"Transportation")</f>
        <v>Transportation</v>
      </c>
      <c r="E70" t="str">
        <f>IFERROR(__xludf.DUMMYFUNCTION("""COMPUTED_VALUE"""),"Capital One")</f>
        <v>Capital One</v>
      </c>
      <c r="F70">
        <v>25.0</v>
      </c>
    </row>
    <row r="71">
      <c r="A71" s="234">
        <f>IFERROR(__xludf.DUMMYFUNCTION("""COMPUTED_VALUE"""),46130.0)</f>
        <v>46130</v>
      </c>
      <c r="B71" t="str">
        <f>IFERROR(__xludf.DUMMYFUNCTION("""COMPUTED_VALUE"""),"NICKS CORNER LIQUORS")</f>
        <v>NICKS CORNER LIQUORS</v>
      </c>
      <c r="C71">
        <f>IFERROR(__xludf.DUMMYFUNCTION("""COMPUTED_VALUE"""),-11.76)</f>
        <v>-11.76</v>
      </c>
      <c r="D71" t="str">
        <f>IFERROR(__xludf.DUMMYFUNCTION("""COMPUTED_VALUE"""),"Shopping")</f>
        <v>Shopping</v>
      </c>
      <c r="E71" t="str">
        <f>IFERROR(__xludf.DUMMYFUNCTION("""COMPUTED_VALUE"""),"Capital One")</f>
        <v>Capital One</v>
      </c>
      <c r="F71">
        <v>97.0</v>
      </c>
    </row>
    <row r="72">
      <c r="A72" s="234">
        <f>IFERROR(__xludf.DUMMYFUNCTION("""COMPUTED_VALUE"""),46129.0)</f>
        <v>46129</v>
      </c>
      <c r="B72" t="str">
        <f>IFERROR(__xludf.DUMMYFUNCTION("""COMPUTED_VALUE"""),"J &amp; H GROCERY")</f>
        <v>J &amp; H GROCERY</v>
      </c>
      <c r="C72">
        <f>IFERROR(__xludf.DUMMYFUNCTION("""COMPUTED_VALUE"""),-15.43)</f>
        <v>-15.43</v>
      </c>
      <c r="D72" t="str">
        <f>IFERROR(__xludf.DUMMYFUNCTION("""COMPUTED_VALUE"""),"Shopping")</f>
        <v>Shopping</v>
      </c>
      <c r="E72" t="str">
        <f>IFERROR(__xludf.DUMMYFUNCTION("""COMPUTED_VALUE"""),"Capital One")</f>
        <v>Capital One</v>
      </c>
      <c r="F72">
        <v>97.0</v>
      </c>
    </row>
    <row r="73">
      <c r="A73" s="234">
        <f>IFERROR(__xludf.DUMMYFUNCTION("""COMPUTED_VALUE"""),46128.0)</f>
        <v>46128</v>
      </c>
      <c r="B73" t="str">
        <f>IFERROR(__xludf.DUMMYFUNCTION("""COMPUTED_VALUE"""),"TRADER JOE S #200")</f>
        <v>TRADER JOE S #200</v>
      </c>
      <c r="C73">
        <f>IFERROR(__xludf.DUMMYFUNCTION("""COMPUTED_VALUE"""),-67.17)</f>
        <v>-67.17</v>
      </c>
      <c r="D73" t="str">
        <f>IFERROR(__xludf.DUMMYFUNCTION("""COMPUTED_VALUE"""),"Groceries")</f>
        <v>Groceries</v>
      </c>
      <c r="E73" t="str">
        <f>IFERROR(__xludf.DUMMYFUNCTION("""COMPUTED_VALUE"""),"Capital One")</f>
        <v>Capital One</v>
      </c>
      <c r="F73">
        <v>500.0</v>
      </c>
    </row>
    <row r="74">
      <c r="A74" s="234">
        <f>IFERROR(__xludf.DUMMYFUNCTION("""COMPUTED_VALUE"""),46127.0)</f>
        <v>46127</v>
      </c>
      <c r="B74" t="str">
        <f>IFERROR(__xludf.DUMMYFUNCTION("""COMPUTED_VALUE"""),"TST*CHEMINE")</f>
        <v>TST*CHEMINE</v>
      </c>
      <c r="C74">
        <f>IFERROR(__xludf.DUMMYFUNCTION("""COMPUTED_VALUE"""),-14.84)</f>
        <v>-14.84</v>
      </c>
      <c r="D74" t="str">
        <f>IFERROR(__xludf.DUMMYFUNCTION("""COMPUTED_VALUE"""),"Coffee")</f>
        <v>Coffee</v>
      </c>
      <c r="E74" t="str">
        <f>IFERROR(__xludf.DUMMYFUNCTION("""COMPUTED_VALUE"""),"Capital One")</f>
        <v>Capital One</v>
      </c>
      <c r="F74">
        <v>84.0</v>
      </c>
    </row>
    <row r="75">
      <c r="A75" s="234">
        <f>IFERROR(__xludf.DUMMYFUNCTION("""COMPUTED_VALUE"""),46127.0)</f>
        <v>46127</v>
      </c>
      <c r="B75" t="str">
        <f>IFERROR(__xludf.DUMMYFUNCTION("""COMPUTED_VALUE"""),"POLK STREET MARKET")</f>
        <v>POLK STREET MARKET</v>
      </c>
      <c r="C75">
        <f>IFERROR(__xludf.DUMMYFUNCTION("""COMPUTED_VALUE"""),-15.57)</f>
        <v>-15.57</v>
      </c>
      <c r="D75" t="str">
        <f>IFERROR(__xludf.DUMMYFUNCTION("""COMPUTED_VALUE"""),"Dining")</f>
        <v>Dining</v>
      </c>
      <c r="E75" t="str">
        <f>IFERROR(__xludf.DUMMYFUNCTION("""COMPUTED_VALUE"""),"Capital One")</f>
        <v>Capital One</v>
      </c>
      <c r="F75">
        <v>320.0</v>
      </c>
    </row>
    <row r="76">
      <c r="A76" s="234">
        <f>IFERROR(__xludf.DUMMYFUNCTION("""COMPUTED_VALUE"""),46127.0)</f>
        <v>46127</v>
      </c>
      <c r="B76" t="str">
        <f>IFERROR(__xludf.DUMMYFUNCTION("""COMPUTED_VALUE"""),"eBay O*05-14516-53341")</f>
        <v>eBay O*05-14516-53341</v>
      </c>
      <c r="C76">
        <f>IFERROR(__xludf.DUMMYFUNCTION("""COMPUTED_VALUE"""),-18.46)</f>
        <v>-18.46</v>
      </c>
      <c r="D76" t="str">
        <f>IFERROR(__xludf.DUMMYFUNCTION("""COMPUTED_VALUE"""),"Business Expenses")</f>
        <v>Business Expenses</v>
      </c>
      <c r="E76" t="str">
        <f>IFERROR(__xludf.DUMMYFUNCTION("""COMPUTED_VALUE"""),"Capital One")</f>
        <v>Capital One</v>
      </c>
      <c r="F76">
        <v>84.0</v>
      </c>
    </row>
    <row r="77">
      <c r="A77" s="234">
        <f>IFERROR(__xludf.DUMMYFUNCTION("""COMPUTED_VALUE"""),46127.0)</f>
        <v>46127</v>
      </c>
      <c r="B77" s="235" t="str">
        <f>IFERROR(__xludf.DUMMYFUNCTION("""COMPUTED_VALUE"""),"APPLE.COM/BILL")</f>
        <v>APPLE.COM/BILL</v>
      </c>
      <c r="C77">
        <f>IFERROR(__xludf.DUMMYFUNCTION("""COMPUTED_VALUE"""),-2.99)</f>
        <v>-2.99</v>
      </c>
      <c r="D77" t="str">
        <f>IFERROR(__xludf.DUMMYFUNCTION("""COMPUTED_VALUE"""),"Subscriptions")</f>
        <v>Subscriptions</v>
      </c>
      <c r="E77" t="str">
        <f>IFERROR(__xludf.DUMMYFUNCTION("""COMPUTED_VALUE"""),"Capital One")</f>
        <v>Capital One</v>
      </c>
      <c r="F77">
        <v>132.0</v>
      </c>
    </row>
    <row r="78">
      <c r="A78" s="234">
        <f>IFERROR(__xludf.DUMMYFUNCTION("""COMPUTED_VALUE"""),46126.0)</f>
        <v>46126</v>
      </c>
      <c r="B78" t="str">
        <f>IFERROR(__xludf.DUMMYFUNCTION("""COMPUTED_VALUE"""),"APPLE CINEMAS VAN NESS")</f>
        <v>APPLE CINEMAS VAN NESS</v>
      </c>
      <c r="C78">
        <f>IFERROR(__xludf.DUMMYFUNCTION("""COMPUTED_VALUE"""),-17.25)</f>
        <v>-17.25</v>
      </c>
      <c r="D78" t="str">
        <f>IFERROR(__xludf.DUMMYFUNCTION("""COMPUTED_VALUE"""),"Entertainment")</f>
        <v>Entertainment</v>
      </c>
      <c r="E78" t="str">
        <f>IFERROR(__xludf.DUMMYFUNCTION("""COMPUTED_VALUE"""),"Capital One")</f>
        <v>Capital One</v>
      </c>
      <c r="F78">
        <v>47.5</v>
      </c>
    </row>
    <row r="79">
      <c r="A79" s="234">
        <f>IFERROR(__xludf.DUMMYFUNCTION("""COMPUTED_VALUE"""),46126.0)</f>
        <v>46126</v>
      </c>
      <c r="B79" t="str">
        <f>IFERROR(__xludf.DUMMYFUNCTION("""COMPUTED_VALUE"""),"SQ *MOTORING COFFEE SF")</f>
        <v>SQ *MOTORING COFFEE SF</v>
      </c>
      <c r="C79">
        <f>IFERROR(__xludf.DUMMYFUNCTION("""COMPUTED_VALUE"""),-4.34)</f>
        <v>-4.34</v>
      </c>
      <c r="D79" t="str">
        <f>IFERROR(__xludf.DUMMYFUNCTION("""COMPUTED_VALUE"""),"Coffee")</f>
        <v>Coffee</v>
      </c>
      <c r="E79" t="str">
        <f>IFERROR(__xludf.DUMMYFUNCTION("""COMPUTED_VALUE"""),"Capital One")</f>
        <v>Capital One</v>
      </c>
      <c r="F79">
        <v>84.0</v>
      </c>
    </row>
    <row r="80">
      <c r="A80" s="234">
        <f>IFERROR(__xludf.DUMMYFUNCTION("""COMPUTED_VALUE"""),46124.0)</f>
        <v>46124</v>
      </c>
      <c r="B80" t="str">
        <f>IFERROR(__xludf.DUMMYFUNCTION("""COMPUTED_VALUE"""),"STATERBROS102")</f>
        <v>STATERBROS102</v>
      </c>
      <c r="C80">
        <f>IFERROR(__xludf.DUMMYFUNCTION("""COMPUTED_VALUE"""),-1.0)</f>
        <v>-1</v>
      </c>
      <c r="D80" t="str">
        <f>IFERROR(__xludf.DUMMYFUNCTION("""COMPUTED_VALUE"""),"Shopping")</f>
        <v>Shopping</v>
      </c>
      <c r="E80" t="str">
        <f>IFERROR(__xludf.DUMMYFUNCTION("""COMPUTED_VALUE"""),"Capital One")</f>
        <v>Capital One</v>
      </c>
      <c r="F80">
        <v>97.0</v>
      </c>
    </row>
    <row r="81">
      <c r="A81" s="234">
        <f>IFERROR(__xludf.DUMMYFUNCTION("""COMPUTED_VALUE"""),46124.0)</f>
        <v>46124</v>
      </c>
      <c r="B81" t="str">
        <f>IFERROR(__xludf.DUMMYFUNCTION("""COMPUTED_VALUE"""),"MAMMOTH MOUNTAINEERING")</f>
        <v>MAMMOTH MOUNTAINEERING</v>
      </c>
      <c r="C81">
        <f>IFERROR(__xludf.DUMMYFUNCTION("""COMPUTED_VALUE"""),-5.0)</f>
        <v>-5</v>
      </c>
      <c r="D81" t="str">
        <f>IFERROR(__xludf.DUMMYFUNCTION("""COMPUTED_VALUE"""),"Shopping")</f>
        <v>Shopping</v>
      </c>
      <c r="E81" t="str">
        <f>IFERROR(__xludf.DUMMYFUNCTION("""COMPUTED_VALUE"""),"Capital One")</f>
        <v>Capital One</v>
      </c>
      <c r="F81">
        <v>97.0</v>
      </c>
    </row>
    <row r="82">
      <c r="A82" s="234">
        <f>IFERROR(__xludf.DUMMYFUNCTION("""COMPUTED_VALUE"""),46125.0)</f>
        <v>46125</v>
      </c>
      <c r="B82" t="str">
        <f>IFERROR(__xludf.DUMMYFUNCTION("""COMPUTED_VALUE"""),"THUMBTACK 9443567618")</f>
        <v>THUMBTACK 9443567618</v>
      </c>
      <c r="C82">
        <f>IFERROR(__xludf.DUMMYFUNCTION("""COMPUTED_VALUE"""),-21.11)</f>
        <v>-21.11</v>
      </c>
      <c r="D82" t="str">
        <f>IFERROR(__xludf.DUMMYFUNCTION("""COMPUTED_VALUE"""),"Business Expenses")</f>
        <v>Business Expenses</v>
      </c>
      <c r="E82" t="str">
        <f>IFERROR(__xludf.DUMMYFUNCTION("""COMPUTED_VALUE"""),"Capital One")</f>
        <v>Capital One</v>
      </c>
      <c r="F82">
        <v>84.0</v>
      </c>
    </row>
    <row r="83">
      <c r="A83" s="234">
        <f>IFERROR(__xludf.DUMMYFUNCTION("""COMPUTED_VALUE"""),46124.0)</f>
        <v>46124</v>
      </c>
      <c r="B83" t="str">
        <f>IFERROR(__xludf.DUMMYFUNCTION("""COMPUTED_VALUE"""),"MCDONALD'S F22694")</f>
        <v>MCDONALD'S F22694</v>
      </c>
      <c r="C83">
        <f>IFERROR(__xludf.DUMMYFUNCTION("""COMPUTED_VALUE"""),-13.27)</f>
        <v>-13.27</v>
      </c>
      <c r="D83" t="str">
        <f>IFERROR(__xludf.DUMMYFUNCTION("""COMPUTED_VALUE"""),"Dining")</f>
        <v>Dining</v>
      </c>
      <c r="E83" t="str">
        <f>IFERROR(__xludf.DUMMYFUNCTION("""COMPUTED_VALUE"""),"Capital One")</f>
        <v>Capital One</v>
      </c>
      <c r="F83">
        <v>320.0</v>
      </c>
    </row>
    <row r="84">
      <c r="A84" s="234">
        <f>IFERROR(__xludf.DUMMYFUNCTION("""COMPUTED_VALUE"""),46124.0)</f>
        <v>46124</v>
      </c>
      <c r="B84" t="str">
        <f>IFERROR(__xludf.DUMMYFUNCTION("""COMPUTED_VALUE"""),"ERICK SCHAT'S BAKERY")</f>
        <v>ERICK SCHAT'S BAKERY</v>
      </c>
      <c r="C84">
        <f>IFERROR(__xludf.DUMMYFUNCTION("""COMPUTED_VALUE"""),-15.9)</f>
        <v>-15.9</v>
      </c>
      <c r="D84" t="str">
        <f>IFERROR(__xludf.DUMMYFUNCTION("""COMPUTED_VALUE"""),"Dining")</f>
        <v>Dining</v>
      </c>
      <c r="E84" t="str">
        <f>IFERROR(__xludf.DUMMYFUNCTION("""COMPUTED_VALUE"""),"Capital One")</f>
        <v>Capital One</v>
      </c>
      <c r="F84">
        <v>320.0</v>
      </c>
    </row>
    <row r="85">
      <c r="A85" s="234">
        <f>IFERROR(__xludf.DUMMYFUNCTION("""COMPUTED_VALUE"""),46123.0)</f>
        <v>46123</v>
      </c>
      <c r="B85" t="str">
        <f>IFERROR(__xludf.DUMMYFUNCTION("""COMPUTED_VALUE"""),"FSP*MOUNTAIN RAMBLER BREW")</f>
        <v>FSP*MOUNTAIN RAMBLER BREW</v>
      </c>
      <c r="C85">
        <f>IFERROR(__xludf.DUMMYFUNCTION("""COMPUTED_VALUE"""),-31.19)</f>
        <v>-31.19</v>
      </c>
      <c r="D85" t="str">
        <f>IFERROR(__xludf.DUMMYFUNCTION("""COMPUTED_VALUE"""),"Dining")</f>
        <v>Dining</v>
      </c>
      <c r="E85" t="str">
        <f>IFERROR(__xludf.DUMMYFUNCTION("""COMPUTED_VALUE"""),"Capital One")</f>
        <v>Capital One</v>
      </c>
      <c r="F85">
        <v>320.0</v>
      </c>
    </row>
    <row r="86">
      <c r="A86" s="234">
        <f>IFERROR(__xludf.DUMMYFUNCTION("""COMPUTED_VALUE"""),46122.0)</f>
        <v>46122</v>
      </c>
      <c r="B86" t="str">
        <f>IFERROR(__xludf.DUMMYFUNCTION("""COMPUTED_VALUE"""),"STATERBROS102")</f>
        <v>STATERBROS102</v>
      </c>
      <c r="C86">
        <f>IFERROR(__xludf.DUMMYFUNCTION("""COMPUTED_VALUE"""),-9.87)</f>
        <v>-9.87</v>
      </c>
      <c r="D86" t="str">
        <f>IFERROR(__xludf.DUMMYFUNCTION("""COMPUTED_VALUE"""),"Shopping")</f>
        <v>Shopping</v>
      </c>
      <c r="E86" t="str">
        <f>IFERROR(__xludf.DUMMYFUNCTION("""COMPUTED_VALUE"""),"Capital One")</f>
        <v>Capital One</v>
      </c>
      <c r="F86">
        <v>97.0</v>
      </c>
    </row>
    <row r="87">
      <c r="A87" s="234">
        <f>IFERROR(__xludf.DUMMYFUNCTION("""COMPUTED_VALUE"""),46122.0)</f>
        <v>46122</v>
      </c>
      <c r="B87" t="str">
        <f>IFERROR(__xludf.DUMMYFUNCTION("""COMPUTED_VALUE"""),"THE SHOPPE AT KETTLEMAN")</f>
        <v>THE SHOPPE AT KETTLEMAN</v>
      </c>
      <c r="C87">
        <f>IFERROR(__xludf.DUMMYFUNCTION("""COMPUTED_VALUE"""),-5.25)</f>
        <v>-5.25</v>
      </c>
      <c r="D87" t="str">
        <f>IFERROR(__xludf.DUMMYFUNCTION("""COMPUTED_VALUE"""),"Shopping")</f>
        <v>Shopping</v>
      </c>
      <c r="E87" t="str">
        <f>IFERROR(__xludf.DUMMYFUNCTION("""COMPUTED_VALUE"""),"Capital One")</f>
        <v>Capital One</v>
      </c>
      <c r="F87">
        <v>97.0</v>
      </c>
    </row>
    <row r="88">
      <c r="A88" s="234">
        <f>IFERROR(__xludf.DUMMYFUNCTION("""COMPUTED_VALUE"""),46122.0)</f>
        <v>46122</v>
      </c>
      <c r="B88" t="str">
        <f>IFERROR(__xludf.DUMMYFUNCTION("""COMPUTED_VALUE"""),"SQ *COPPER TOP BBQ")</f>
        <v>SQ *COPPER TOP BBQ</v>
      </c>
      <c r="C88">
        <f>IFERROR(__xludf.DUMMYFUNCTION("""COMPUTED_VALUE"""),-27.27)</f>
        <v>-27.27</v>
      </c>
      <c r="D88" t="str">
        <f>IFERROR(__xludf.DUMMYFUNCTION("""COMPUTED_VALUE"""),"Dining")</f>
        <v>Dining</v>
      </c>
      <c r="E88" t="str">
        <f>IFERROR(__xludf.DUMMYFUNCTION("""COMPUTED_VALUE"""),"Capital One")</f>
        <v>Capital One</v>
      </c>
      <c r="F88">
        <v>320.0</v>
      </c>
    </row>
    <row r="89">
      <c r="A89" s="234">
        <f>IFERROR(__xludf.DUMMYFUNCTION("""COMPUTED_VALUE"""),46122.0)</f>
        <v>46122</v>
      </c>
      <c r="B89" t="str">
        <f>IFERROR(__xludf.DUMMYFUNCTION("""COMPUTED_VALUE"""),"CLIPPER MOBILE")</f>
        <v>CLIPPER MOBILE</v>
      </c>
      <c r="C89">
        <f>IFERROR(__xludf.DUMMYFUNCTION("""COMPUTED_VALUE"""),-20.0)</f>
        <v>-20</v>
      </c>
      <c r="D89" t="str">
        <f>IFERROR(__xludf.DUMMYFUNCTION("""COMPUTED_VALUE"""),"Transportation")</f>
        <v>Transportation</v>
      </c>
      <c r="E89" t="str">
        <f>IFERROR(__xludf.DUMMYFUNCTION("""COMPUTED_VALUE"""),"Capital One")</f>
        <v>Capital One</v>
      </c>
      <c r="F89">
        <v>25.0</v>
      </c>
    </row>
    <row r="90">
      <c r="A90" s="234">
        <f>IFERROR(__xludf.DUMMYFUNCTION("""COMPUTED_VALUE"""),46122.0)</f>
        <v>46122</v>
      </c>
      <c r="B90" t="str">
        <f>IFERROR(__xludf.DUMMYFUNCTION("""COMPUTED_VALUE"""),"CLIPPER TRANSIT FARE")</f>
        <v>CLIPPER TRANSIT FARE</v>
      </c>
      <c r="C90">
        <f>IFERROR(__xludf.DUMMYFUNCTION("""COMPUTED_VALUE"""),-2.85)</f>
        <v>-2.85</v>
      </c>
      <c r="D90" t="str">
        <f>IFERROR(__xludf.DUMMYFUNCTION("""COMPUTED_VALUE"""),"Transportation")</f>
        <v>Transportation</v>
      </c>
      <c r="E90" t="str">
        <f>IFERROR(__xludf.DUMMYFUNCTION("""COMPUTED_VALUE"""),"Capital One")</f>
        <v>Capital One</v>
      </c>
      <c r="F90">
        <v>25.0</v>
      </c>
    </row>
    <row r="91">
      <c r="A91" s="234">
        <f>IFERROR(__xludf.DUMMYFUNCTION("""COMPUTED_VALUE"""),46121.0)</f>
        <v>46121</v>
      </c>
      <c r="B91" t="str">
        <f>IFERROR(__xludf.DUMMYFUNCTION("""COMPUTED_VALUE"""),"REI #143 DUBLIN")</f>
        <v>REI #143 DUBLIN</v>
      </c>
      <c r="C91">
        <f>IFERROR(__xludf.DUMMYFUNCTION("""COMPUTED_VALUE"""),-20.01)</f>
        <v>-20.01</v>
      </c>
      <c r="D91" t="str">
        <f>IFERROR(__xludf.DUMMYFUNCTION("""COMPUTED_VALUE"""),"Shopping")</f>
        <v>Shopping</v>
      </c>
      <c r="E91" t="str">
        <f>IFERROR(__xludf.DUMMYFUNCTION("""COMPUTED_VALUE"""),"Capital One")</f>
        <v>Capital One</v>
      </c>
      <c r="F91">
        <v>97.0</v>
      </c>
    </row>
    <row r="92">
      <c r="A92" s="234">
        <f>IFERROR(__xludf.DUMMYFUNCTION("""COMPUTED_VALUE"""),46120.0)</f>
        <v>46120</v>
      </c>
      <c r="B92" t="str">
        <f>IFERROR(__xludf.DUMMYFUNCTION("""COMPUTED_VALUE"""),"SQ *FLYWHEEL COFFEE ROAST")</f>
        <v>SQ *FLYWHEEL COFFEE ROAST</v>
      </c>
      <c r="C92">
        <f>IFERROR(__xludf.DUMMYFUNCTION("""COMPUTED_VALUE"""),-5.25)</f>
        <v>-5.25</v>
      </c>
      <c r="D92" t="str">
        <f>IFERROR(__xludf.DUMMYFUNCTION("""COMPUTED_VALUE"""),"Coffee")</f>
        <v>Coffee</v>
      </c>
      <c r="E92" t="str">
        <f>IFERROR(__xludf.DUMMYFUNCTION("""COMPUTED_VALUE"""),"Capital One")</f>
        <v>Capital One</v>
      </c>
      <c r="F92">
        <v>84.0</v>
      </c>
    </row>
    <row r="93">
      <c r="A93" s="234">
        <f>IFERROR(__xludf.DUMMYFUNCTION("""COMPUTED_VALUE"""),46119.0)</f>
        <v>46119</v>
      </c>
      <c r="B93" t="str">
        <f>IFERROR(__xludf.DUMMYFUNCTION("""COMPUTED_VALUE"""),"COLE HARDWARE-VALLEJO ST")</f>
        <v>COLE HARDWARE-VALLEJO ST</v>
      </c>
      <c r="C93">
        <f>IFERROR(__xludf.DUMMYFUNCTION("""COMPUTED_VALUE"""),-25.09)</f>
        <v>-25.09</v>
      </c>
      <c r="D93" t="str">
        <f>IFERROR(__xludf.DUMMYFUNCTION("""COMPUTED_VALUE"""),"Shopping")</f>
        <v>Shopping</v>
      </c>
      <c r="E93" t="str">
        <f>IFERROR(__xludf.DUMMYFUNCTION("""COMPUTED_VALUE"""),"Capital One")</f>
        <v>Capital One</v>
      </c>
      <c r="F93">
        <v>97.0</v>
      </c>
    </row>
    <row r="94">
      <c r="A94" s="236">
        <f>IFERROR(__xludf.DUMMYFUNCTION("""COMPUTED_VALUE"""),46119.0)</f>
        <v>46119</v>
      </c>
      <c r="B94" t="str">
        <f>IFERROR(__xludf.DUMMYFUNCTION("""COMPUTED_VALUE"""),"CLIPPER TRANSIT FARE")</f>
        <v>CLIPPER TRANSIT FARE</v>
      </c>
      <c r="C94">
        <f>IFERROR(__xludf.DUMMYFUNCTION("""COMPUTED_VALUE"""),-2.85)</f>
        <v>-2.85</v>
      </c>
      <c r="D94" t="str">
        <f>IFERROR(__xludf.DUMMYFUNCTION("""COMPUTED_VALUE"""),"Transportation")</f>
        <v>Transportation</v>
      </c>
      <c r="E94" t="str">
        <f>IFERROR(__xludf.DUMMYFUNCTION("""COMPUTED_VALUE"""),"Capital One")</f>
        <v>Capital One</v>
      </c>
      <c r="F94">
        <v>25.0</v>
      </c>
    </row>
    <row r="95">
      <c r="A95" s="234">
        <f>IFERROR(__xludf.DUMMYFUNCTION("""COMPUTED_VALUE"""),46118.0)</f>
        <v>46118</v>
      </c>
      <c r="B95" t="str">
        <f>IFERROR(__xludf.DUMMYFUNCTION("""COMPUTED_VALUE"""),"USPS PO 0568060042")</f>
        <v>USPS PO 0568060042</v>
      </c>
      <c r="C95">
        <f>IFERROR(__xludf.DUMMYFUNCTION("""COMPUTED_VALUE"""),-6.37)</f>
        <v>-6.37</v>
      </c>
      <c r="D95" t="str">
        <f>IFERROR(__xludf.DUMMYFUNCTION("""COMPUTED_VALUE"""),"Other Services")</f>
        <v>Other Services</v>
      </c>
      <c r="E95" t="str">
        <f>IFERROR(__xludf.DUMMYFUNCTION("""COMPUTED_VALUE"""),"Capital One")</f>
        <v>Capital One</v>
      </c>
      <c r="F95">
        <v>18.0</v>
      </c>
    </row>
    <row r="96">
      <c r="A96" s="234">
        <f>IFERROR(__xludf.DUMMYFUNCTION("""COMPUTED_VALUE"""),46118.0)</f>
        <v>46118</v>
      </c>
      <c r="B96" t="str">
        <f>IFERROR(__xludf.DUMMYFUNCTION("""COMPUTED_VALUE"""),"SQ *JOYRIDE PIZZA, PIER 1")</f>
        <v>SQ *JOYRIDE PIZZA, PIER 1</v>
      </c>
      <c r="C96">
        <f>IFERROR(__xludf.DUMMYFUNCTION("""COMPUTED_VALUE"""),-6.0)</f>
        <v>-6</v>
      </c>
      <c r="D96" t="str">
        <f>IFERROR(__xludf.DUMMYFUNCTION("""COMPUTED_VALUE"""),"Dining")</f>
        <v>Dining</v>
      </c>
      <c r="E96" t="str">
        <f>IFERROR(__xludf.DUMMYFUNCTION("""COMPUTED_VALUE"""),"Capital One")</f>
        <v>Capital One</v>
      </c>
      <c r="F96">
        <v>320.0</v>
      </c>
    </row>
    <row r="97">
      <c r="A97" s="234">
        <f>IFERROR(__xludf.DUMMYFUNCTION("""COMPUTED_VALUE"""),46118.0)</f>
        <v>46118</v>
      </c>
      <c r="B97" t="str">
        <f>IFERROR(__xludf.DUMMYFUNCTION("""COMPUTED_VALUE"""),"THUMBTACK 9443567618")</f>
        <v>THUMBTACK 9443567618</v>
      </c>
      <c r="C97">
        <f>IFERROR(__xludf.DUMMYFUNCTION("""COMPUTED_VALUE"""),-34.87)</f>
        <v>-34.87</v>
      </c>
      <c r="D97" t="str">
        <f>IFERROR(__xludf.DUMMYFUNCTION("""COMPUTED_VALUE"""),"Business Expenses")</f>
        <v>Business Expenses</v>
      </c>
      <c r="E97" t="str">
        <f>IFERROR(__xludf.DUMMYFUNCTION("""COMPUTED_VALUE"""),"Capital One")</f>
        <v>Capital One</v>
      </c>
      <c r="F97">
        <v>84.0</v>
      </c>
    </row>
    <row r="98">
      <c r="A98" s="234">
        <f>IFERROR(__xludf.DUMMYFUNCTION("""COMPUTED_VALUE"""),46118.0)</f>
        <v>46118</v>
      </c>
      <c r="B98" t="str">
        <f>IFERROR(__xludf.DUMMYFUNCTION("""COMPUTED_VALUE"""),"WAYMO")</f>
        <v>WAYMO</v>
      </c>
      <c r="C98">
        <f>IFERROR(__xludf.DUMMYFUNCTION("""COMPUTED_VALUE"""),-3.06)</f>
        <v>-3.06</v>
      </c>
      <c r="D98" t="str">
        <f>IFERROR(__xludf.DUMMYFUNCTION("""COMPUTED_VALUE"""),"Transportation")</f>
        <v>Transportation</v>
      </c>
      <c r="E98" t="str">
        <f>IFERROR(__xludf.DUMMYFUNCTION("""COMPUTED_VALUE"""),"Capital One")</f>
        <v>Capital One</v>
      </c>
      <c r="F98">
        <v>25.0</v>
      </c>
    </row>
    <row r="99">
      <c r="A99" s="234">
        <f>IFERROR(__xludf.DUMMYFUNCTION("""COMPUTED_VALUE"""),46116.0)</f>
        <v>46116</v>
      </c>
      <c r="B99" t="str">
        <f>IFERROR(__xludf.DUMMYFUNCTION("""COMPUTED_VALUE"""),"CLIPPER TRANSIT FARE")</f>
        <v>CLIPPER TRANSIT FARE</v>
      </c>
      <c r="C99">
        <f>IFERROR(__xludf.DUMMYFUNCTION("""COMPUTED_VALUE"""),-2.85)</f>
        <v>-2.85</v>
      </c>
      <c r="D99" t="str">
        <f>IFERROR(__xludf.DUMMYFUNCTION("""COMPUTED_VALUE"""),"Transportation")</f>
        <v>Transportation</v>
      </c>
      <c r="E99" t="str">
        <f>IFERROR(__xludf.DUMMYFUNCTION("""COMPUTED_VALUE"""),"Capital One")</f>
        <v>Capital One</v>
      </c>
      <c r="F99">
        <v>25.0</v>
      </c>
    </row>
    <row r="100">
      <c r="A100" s="234">
        <f>IFERROR(__xludf.DUMMYFUNCTION("""COMPUTED_VALUE"""),46117.0)</f>
        <v>46117</v>
      </c>
      <c r="B100" t="str">
        <f>IFERROR(__xludf.DUMMYFUNCTION("""COMPUTED_VALUE"""),"Too Good To Go Inc.")</f>
        <v>Too Good To Go Inc.</v>
      </c>
      <c r="C100">
        <f>IFERROR(__xludf.DUMMYFUNCTION("""COMPUTED_VALUE"""),-5.42)</f>
        <v>-5.42</v>
      </c>
      <c r="D100" t="str">
        <f>IFERROR(__xludf.DUMMYFUNCTION("""COMPUTED_VALUE"""),"Dining")</f>
        <v>Dining</v>
      </c>
      <c r="E100" t="str">
        <f>IFERROR(__xludf.DUMMYFUNCTION("""COMPUTED_VALUE"""),"Capital One")</f>
        <v>Capital One</v>
      </c>
      <c r="F100">
        <v>320.0</v>
      </c>
    </row>
    <row r="101">
      <c r="A101" s="234">
        <f>IFERROR(__xludf.DUMMYFUNCTION("""COMPUTED_VALUE"""),46116.0)</f>
        <v>46116</v>
      </c>
      <c r="B101" t="str">
        <f>IFERROR(__xludf.DUMMYFUNCTION("""COMPUTED_VALUE"""),"IKEA SAN FRAN REST")</f>
        <v>IKEA SAN FRAN REST</v>
      </c>
      <c r="C101">
        <f>IFERROR(__xludf.DUMMYFUNCTION("""COMPUTED_VALUE"""),-1.09)</f>
        <v>-1.09</v>
      </c>
      <c r="D101" t="str">
        <f>IFERROR(__xludf.DUMMYFUNCTION("""COMPUTED_VALUE"""),"Dining")</f>
        <v>Dining</v>
      </c>
      <c r="E101" t="str">
        <f>IFERROR(__xludf.DUMMYFUNCTION("""COMPUTED_VALUE"""),"Capital One")</f>
        <v>Capital One</v>
      </c>
      <c r="F101">
        <v>320.0</v>
      </c>
    </row>
    <row r="102">
      <c r="A102" s="234">
        <f>IFERROR(__xludf.DUMMYFUNCTION("""COMPUTED_VALUE"""),46116.0)</f>
        <v>46116</v>
      </c>
      <c r="B102" t="str">
        <f>IFERROR(__xludf.DUMMYFUNCTION("""COMPUTED_VALUE"""),"REPLICATE")</f>
        <v>REPLICATE</v>
      </c>
      <c r="C102">
        <f>IFERROR(__xludf.DUMMYFUNCTION("""COMPUTED_VALUE"""),-3.22)</f>
        <v>-3.22</v>
      </c>
      <c r="D102" t="str">
        <f>IFERROR(__xludf.DUMMYFUNCTION("""COMPUTED_VALUE"""),"Shopping")</f>
        <v>Shopping</v>
      </c>
      <c r="E102" t="str">
        <f>IFERROR(__xludf.DUMMYFUNCTION("""COMPUTED_VALUE"""),"Capital One")</f>
        <v>Capital One</v>
      </c>
      <c r="F102">
        <v>97.0</v>
      </c>
    </row>
    <row r="103">
      <c r="A103" s="234">
        <f>IFERROR(__xludf.DUMMYFUNCTION("""COMPUTED_VALUE"""),46115.0)</f>
        <v>46115</v>
      </c>
      <c r="B103" t="str">
        <f>IFERROR(__xludf.DUMMYFUNCTION("""COMPUTED_VALUE"""),"INTUIT *TURBOTAX")</f>
        <v>INTUIT *TURBOTAX</v>
      </c>
      <c r="C103">
        <f>IFERROR(__xludf.DUMMYFUNCTION("""COMPUTED_VALUE"""),-150.0)</f>
        <v>-150</v>
      </c>
      <c r="D103" t="str">
        <f>IFERROR(__xludf.DUMMYFUNCTION("""COMPUTED_VALUE"""),"Business Expenses")</f>
        <v>Business Expenses</v>
      </c>
      <c r="E103" t="str">
        <f>IFERROR(__xludf.DUMMYFUNCTION("""COMPUTED_VALUE"""),"Capital One")</f>
        <v>Capital One</v>
      </c>
      <c r="F103">
        <v>84.0</v>
      </c>
    </row>
    <row r="104">
      <c r="A104" s="234">
        <f>IFERROR(__xludf.DUMMYFUNCTION("""COMPUTED_VALUE"""),46115.0)</f>
        <v>46115</v>
      </c>
      <c r="B104" t="str">
        <f>IFERROR(__xludf.DUMMYFUNCTION("""COMPUTED_VALUE"""),"CLIPPER TRANSIT FARE")</f>
        <v>CLIPPER TRANSIT FARE</v>
      </c>
      <c r="C104">
        <f>IFERROR(__xludf.DUMMYFUNCTION("""COMPUTED_VALUE"""),-4.6)</f>
        <v>-4.6</v>
      </c>
      <c r="D104" t="str">
        <f>IFERROR(__xludf.DUMMYFUNCTION("""COMPUTED_VALUE"""),"Transportation")</f>
        <v>Transportation</v>
      </c>
      <c r="E104" t="str">
        <f>IFERROR(__xludf.DUMMYFUNCTION("""COMPUTED_VALUE"""),"Capital One")</f>
        <v>Capital One</v>
      </c>
      <c r="F104">
        <v>25.0</v>
      </c>
    </row>
    <row r="105">
      <c r="A105" s="234">
        <f>IFERROR(__xludf.DUMMYFUNCTION("""COMPUTED_VALUE"""),46114.0)</f>
        <v>46114</v>
      </c>
      <c r="B105" t="str">
        <f>IFERROR(__xludf.DUMMYFUNCTION("""COMPUTED_VALUE"""),"CLIPPER TRANSIT FARE")</f>
        <v>CLIPPER TRANSIT FARE</v>
      </c>
      <c r="C105">
        <f>IFERROR(__xludf.DUMMYFUNCTION("""COMPUTED_VALUE"""),-4.6)</f>
        <v>-4.6</v>
      </c>
      <c r="D105" t="str">
        <f>IFERROR(__xludf.DUMMYFUNCTION("""COMPUTED_VALUE"""),"Transportation")</f>
        <v>Transportation</v>
      </c>
      <c r="E105" t="str">
        <f>IFERROR(__xludf.DUMMYFUNCTION("""COMPUTED_VALUE"""),"Capital One")</f>
        <v>Capital One</v>
      </c>
      <c r="F105">
        <v>25.0</v>
      </c>
    </row>
    <row r="106">
      <c r="A106" s="234">
        <f>IFERROR(__xludf.DUMMYFUNCTION("""COMPUTED_VALUE"""),46084.0)</f>
        <v>46084</v>
      </c>
      <c r="B106" t="str">
        <f>IFERROR(__xludf.DUMMYFUNCTION("""COMPUTED_VALUE"""),"Painting!")</f>
        <v>Painting!</v>
      </c>
      <c r="C106" s="237">
        <f>IFERROR(__xludf.DUMMYFUNCTION("""COMPUTED_VALUE"""),-20.0)</f>
        <v>-20</v>
      </c>
      <c r="D106" t="str">
        <f>IFERROR(__xludf.DUMMYFUNCTION("""COMPUTED_VALUE"""),"Shopping")</f>
        <v>Shopping</v>
      </c>
      <c r="E106" t="str">
        <f>IFERROR(__xludf.DUMMYFUNCTION("""COMPUTED_VALUE"""),"Venmo")</f>
        <v>Venmo</v>
      </c>
      <c r="F106">
        <v>97.0</v>
      </c>
    </row>
    <row r="107">
      <c r="A107" s="234">
        <f>IFERROR(__xludf.DUMMYFUNCTION("""COMPUTED_VALUE"""),46090.0)</f>
        <v>46090</v>
      </c>
      <c r="B107" t="str">
        <f>IFERROR(__xludf.DUMMYFUNCTION("""COMPUTED_VALUE"""),"Shelves")</f>
        <v>Shelves</v>
      </c>
      <c r="C107" s="237">
        <f>IFERROR(__xludf.DUMMYFUNCTION("""COMPUTED_VALUE"""),-25.0)</f>
        <v>-25</v>
      </c>
      <c r="D107" t="str">
        <f>IFERROR(__xludf.DUMMYFUNCTION("""COMPUTED_VALUE"""),"Shopping")</f>
        <v>Shopping</v>
      </c>
      <c r="E107" t="str">
        <f>IFERROR(__xludf.DUMMYFUNCTION("""COMPUTED_VALUE"""),"Venmo")</f>
        <v>Venmo</v>
      </c>
      <c r="F107">
        <v>97.0</v>
      </c>
    </row>
    <row r="108">
      <c r="A108" s="234">
        <f>IFERROR(__xludf.DUMMYFUNCTION("""COMPUTED_VALUE"""),46096.0)</f>
        <v>46096</v>
      </c>
      <c r="B108" t="str">
        <f>IFERROR(__xludf.DUMMYFUNCTION("""COMPUTED_VALUE"""),"Chairs")</f>
        <v>Chairs</v>
      </c>
      <c r="C108" s="237">
        <f>IFERROR(__xludf.DUMMYFUNCTION("""COMPUTED_VALUE"""),25.0)</f>
        <v>25</v>
      </c>
      <c r="D108" t="str">
        <f>IFERROR(__xludf.DUMMYFUNCTION("""COMPUTED_VALUE"""),"Shopping")</f>
        <v>Shopping</v>
      </c>
      <c r="E108" t="str">
        <f>IFERROR(__xludf.DUMMYFUNCTION("""COMPUTED_VALUE"""),"Venmo")</f>
        <v>Venmo</v>
      </c>
      <c r="F108">
        <v>97.0</v>
      </c>
    </row>
    <row r="109">
      <c r="A109" s="234">
        <f>IFERROR(__xludf.DUMMYFUNCTION("""COMPUTED_VALUE"""),46096.0)</f>
        <v>46096</v>
      </c>
      <c r="B109" t="str">
        <f>IFERROR(__xludf.DUMMYFUNCTION("""COMPUTED_VALUE"""),"🪩")</f>
        <v>🪩</v>
      </c>
      <c r="C109" s="237">
        <f>IFERROR(__xludf.DUMMYFUNCTION("""COMPUTED_VALUE"""),37.0)</f>
        <v>37</v>
      </c>
      <c r="D109" t="str">
        <f>IFERROR(__xludf.DUMMYFUNCTION("""COMPUTED_VALUE"""),"Entertainment")</f>
        <v>Entertainment</v>
      </c>
      <c r="E109" t="str">
        <f>IFERROR(__xludf.DUMMYFUNCTION("""COMPUTED_VALUE"""),"Venmo")</f>
        <v>Venmo</v>
      </c>
      <c r="F109">
        <v>47.5</v>
      </c>
    </row>
    <row r="110">
      <c r="A110" s="234">
        <f>IFERROR(__xludf.DUMMYFUNCTION("""COMPUTED_VALUE"""),46097.0)</f>
        <v>46097</v>
      </c>
      <c r="B110" t="str">
        <f>IFERROR(__xludf.DUMMYFUNCTION("""COMPUTED_VALUE"""),"Notebook + candle + pyrex")</f>
        <v>Notebook + candle + pyrex</v>
      </c>
      <c r="C110" s="237">
        <f>IFERROR(__xludf.DUMMYFUNCTION("""COMPUTED_VALUE"""),55.0)</f>
        <v>55</v>
      </c>
      <c r="D110" t="str">
        <f>IFERROR(__xludf.DUMMYFUNCTION("""COMPUTED_VALUE"""),"Shopping")</f>
        <v>Shopping</v>
      </c>
      <c r="E110" t="str">
        <f>IFERROR(__xludf.DUMMYFUNCTION("""COMPUTED_VALUE"""),"Venmo")</f>
        <v>Venmo</v>
      </c>
      <c r="F110">
        <v>97.0</v>
      </c>
    </row>
    <row r="111">
      <c r="A111" s="234">
        <f>IFERROR(__xludf.DUMMYFUNCTION("""COMPUTED_VALUE"""),46100.0)</f>
        <v>46100</v>
      </c>
      <c r="B111" t="str">
        <f>IFERROR(__xludf.DUMMYFUNCTION("""COMPUTED_VALUE"""),"Target Haul")</f>
        <v>Target Haul</v>
      </c>
      <c r="C111" s="237">
        <f>IFERROR(__xludf.DUMMYFUNCTION("""COMPUTED_VALUE"""),20.0)</f>
        <v>20</v>
      </c>
      <c r="D111" t="str">
        <f>IFERROR(__xludf.DUMMYFUNCTION("""COMPUTED_VALUE"""),"Shopping")</f>
        <v>Shopping</v>
      </c>
      <c r="E111" t="str">
        <f>IFERROR(__xludf.DUMMYFUNCTION("""COMPUTED_VALUE"""),"Venmo")</f>
        <v>Venmo</v>
      </c>
      <c r="F111">
        <v>97.0</v>
      </c>
    </row>
    <row r="112">
      <c r="A112" s="234">
        <f>IFERROR(__xludf.DUMMYFUNCTION("""COMPUTED_VALUE"""),46100.0)</f>
        <v>46100</v>
      </c>
      <c r="B112" t="str">
        <f>IFERROR(__xludf.DUMMYFUNCTION("""COMPUTED_VALUE"""),"Toallas de papel")</f>
        <v>Toallas de papel</v>
      </c>
      <c r="C112" s="237">
        <f>IFERROR(__xludf.DUMMYFUNCTION("""COMPUTED_VALUE"""),-5.0)</f>
        <v>-5</v>
      </c>
      <c r="D112" t="str">
        <f>IFERROR(__xludf.DUMMYFUNCTION("""COMPUTED_VALUE"""),"Shopping")</f>
        <v>Shopping</v>
      </c>
      <c r="E112" t="str">
        <f>IFERROR(__xludf.DUMMYFUNCTION("""COMPUTED_VALUE"""),"Venmo")</f>
        <v>Venmo</v>
      </c>
      <c r="F112">
        <v>97.0</v>
      </c>
    </row>
    <row r="113">
      <c r="A113" s="234">
        <f>IFERROR(__xludf.DUMMYFUNCTION("""COMPUTED_VALUE"""),46100.0)</f>
        <v>46100</v>
      </c>
      <c r="B113" t="str">
        <f>IFERROR(__xludf.DUMMYFUNCTION("""COMPUTED_VALUE"""),"Target")</f>
        <v>Target</v>
      </c>
      <c r="C113" s="237">
        <f>IFERROR(__xludf.DUMMYFUNCTION("""COMPUTED_VALUE"""),20.0)</f>
        <v>20</v>
      </c>
      <c r="D113" t="str">
        <f>IFERROR(__xludf.DUMMYFUNCTION("""COMPUTED_VALUE"""),"Shopping")</f>
        <v>Shopping</v>
      </c>
      <c r="E113" t="str">
        <f>IFERROR(__xludf.DUMMYFUNCTION("""COMPUTED_VALUE"""),"Venmo")</f>
        <v>Venmo</v>
      </c>
      <c r="F113">
        <v>97.0</v>
      </c>
    </row>
    <row r="114">
      <c r="A114" s="234">
        <f>IFERROR(__xludf.DUMMYFUNCTION("""COMPUTED_VALUE"""),46101.0)</f>
        <v>46101</v>
      </c>
      <c r="B114" t="str">
        <f>IFERROR(__xludf.DUMMYFUNCTION("""COMPUTED_VALUE"""),"Rack")</f>
        <v>Rack</v>
      </c>
      <c r="C114" s="237">
        <f>IFERROR(__xludf.DUMMYFUNCTION("""COMPUTED_VALUE"""),-5.0)</f>
        <v>-5</v>
      </c>
      <c r="D114" t="str">
        <f>IFERROR(__xludf.DUMMYFUNCTION("""COMPUTED_VALUE"""),"Shopping")</f>
        <v>Shopping</v>
      </c>
      <c r="E114" t="str">
        <f>IFERROR(__xludf.DUMMYFUNCTION("""COMPUTED_VALUE"""),"Venmo")</f>
        <v>Venmo</v>
      </c>
      <c r="F114">
        <v>97.0</v>
      </c>
    </row>
    <row r="115">
      <c r="A115" s="234">
        <f>IFERROR(__xludf.DUMMYFUNCTION("""COMPUTED_VALUE"""),46102.0)</f>
        <v>46102</v>
      </c>
      <c r="B115" t="str">
        <f>IFERROR(__xludf.DUMMYFUNCTION("""COMPUTED_VALUE"""),"Bier")</f>
        <v>Bier</v>
      </c>
      <c r="C115" s="237">
        <f>IFERROR(__xludf.DUMMYFUNCTION("""COMPUTED_VALUE"""),-11.0)</f>
        <v>-11</v>
      </c>
      <c r="D115" t="str">
        <f>IFERROR(__xludf.DUMMYFUNCTION("""COMPUTED_VALUE"""),"Bar/ Alcohol")</f>
        <v>Bar/ Alcohol</v>
      </c>
      <c r="E115" t="str">
        <f>IFERROR(__xludf.DUMMYFUNCTION("""COMPUTED_VALUE"""),"Venmo")</f>
        <v>Venmo</v>
      </c>
      <c r="F115">
        <v>100.0</v>
      </c>
    </row>
    <row r="116">
      <c r="A116" s="234">
        <f>IFERROR(__xludf.DUMMYFUNCTION("""COMPUTED_VALUE"""),46111.0)</f>
        <v>46111</v>
      </c>
      <c r="B116" t="str">
        <f>IFERROR(__xludf.DUMMYFUNCTION("""COMPUTED_VALUE"""),"Grubby chicken")</f>
        <v>Grubby chicken</v>
      </c>
      <c r="C116" s="237">
        <f>IFERROR(__xludf.DUMMYFUNCTION("""COMPUTED_VALUE"""),-18.5)</f>
        <v>-18.5</v>
      </c>
      <c r="D116" t="str">
        <f>IFERROR(__xludf.DUMMYFUNCTION("""COMPUTED_VALUE"""),"Dining")</f>
        <v>Dining</v>
      </c>
      <c r="E116" t="str">
        <f>IFERROR(__xludf.DUMMYFUNCTION("""COMPUTED_VALUE"""),"Venmo")</f>
        <v>Venmo</v>
      </c>
      <c r="F116">
        <v>320.0</v>
      </c>
    </row>
    <row r="117">
      <c r="A117" s="234">
        <f>IFERROR(__xludf.DUMMYFUNCTION("""COMPUTED_VALUE"""),46113.0)</f>
        <v>46113</v>
      </c>
      <c r="B117" t="str">
        <f>IFERROR(__xludf.DUMMYFUNCTION("""COMPUTED_VALUE"""),"April 🏠")</f>
        <v>April 🏠</v>
      </c>
      <c r="C117" s="237">
        <f>IFERROR(__xludf.DUMMYFUNCTION("""COMPUTED_VALUE"""),-1327.0)</f>
        <v>-1327</v>
      </c>
      <c r="D117" t="str">
        <f>IFERROR(__xludf.DUMMYFUNCTION("""COMPUTED_VALUE"""),"Rent")</f>
        <v>Rent</v>
      </c>
      <c r="E117" t="str">
        <f>IFERROR(__xludf.DUMMYFUNCTION("""COMPUTED_VALUE"""),"Venmo")</f>
        <v>Venmo</v>
      </c>
      <c r="F117">
        <v>1327.0</v>
      </c>
    </row>
    <row r="118">
      <c r="A118" s="234">
        <f>IFERROR(__xludf.DUMMYFUNCTION("""COMPUTED_VALUE"""),46114.0)</f>
        <v>46114</v>
      </c>
      <c r="B118" t="str">
        <f>IFERROR(__xludf.DUMMYFUNCTION("""COMPUTED_VALUE"""),"Eero")</f>
        <v>Eero</v>
      </c>
      <c r="C118" s="237">
        <f>IFERROR(__xludf.DUMMYFUNCTION("""COMPUTED_VALUE"""),65.0)</f>
        <v>65</v>
      </c>
      <c r="D118" t="str">
        <f>IFERROR(__xludf.DUMMYFUNCTION("""COMPUTED_VALUE"""),"Entertainment")</f>
        <v>Entertainment</v>
      </c>
      <c r="E118" t="str">
        <f>IFERROR(__xludf.DUMMYFUNCTION("""COMPUTED_VALUE"""),"Venmo")</f>
        <v>Venmo</v>
      </c>
      <c r="F118">
        <v>47.5</v>
      </c>
    </row>
    <row r="119">
      <c r="A119" s="234">
        <f>IFERROR(__xludf.DUMMYFUNCTION("""COMPUTED_VALUE"""),46120.0)</f>
        <v>46120</v>
      </c>
      <c r="B119" t="str">
        <f>IFERROR(__xludf.DUMMYFUNCTION("""COMPUTED_VALUE"""),"Olympic Rugby")</f>
        <v>Olympic Rugby</v>
      </c>
      <c r="C119" s="237">
        <f>IFERROR(__xludf.DUMMYFUNCTION("""COMPUTED_VALUE"""),-187.0)</f>
        <v>-187</v>
      </c>
      <c r="D119" t="str">
        <f>IFERROR(__xludf.DUMMYFUNCTION("""COMPUTED_VALUE"""),"Business Expenses")</f>
        <v>Business Expenses</v>
      </c>
      <c r="E119" t="str">
        <f>IFERROR(__xludf.DUMMYFUNCTION("""COMPUTED_VALUE"""),"Venmo")</f>
        <v>Venmo</v>
      </c>
      <c r="F119">
        <v>84.0</v>
      </c>
    </row>
    <row r="120">
      <c r="A120" s="234">
        <f>IFERROR(__xludf.DUMMYFUNCTION("""COMPUTED_VALUE"""),46120.0)</f>
        <v>46120</v>
      </c>
      <c r="B120" t="str">
        <f>IFERROR(__xludf.DUMMYFUNCTION("""COMPUTED_VALUE"""),"Photo box 📸🤌🏼")</f>
        <v>Photo box 📸🤌🏼</v>
      </c>
      <c r="C120" s="237">
        <f>IFERROR(__xludf.DUMMYFUNCTION("""COMPUTED_VALUE"""),-97.75)</f>
        <v>-97.75</v>
      </c>
      <c r="D120" t="str">
        <f>IFERROR(__xludf.DUMMYFUNCTION("""COMPUTED_VALUE"""),"Business Expenses")</f>
        <v>Business Expenses</v>
      </c>
      <c r="E120" t="str">
        <f>IFERROR(__xludf.DUMMYFUNCTION("""COMPUTED_VALUE"""),"Venmo")</f>
        <v>Venmo</v>
      </c>
      <c r="F120">
        <v>84.0</v>
      </c>
    </row>
    <row r="121">
      <c r="A121" s="234">
        <f>IFERROR(__xludf.DUMMYFUNCTION("""COMPUTED_VALUE"""),46122.0)</f>
        <v>46122</v>
      </c>
      <c r="B121" t="str">
        <f>IFERROR(__xludf.DUMMYFUNCTION("""COMPUTED_VALUE"""),"Food")</f>
        <v>Food</v>
      </c>
      <c r="C121" s="237">
        <f>IFERROR(__xludf.DUMMYFUNCTION("""COMPUTED_VALUE"""),14.0)</f>
        <v>14</v>
      </c>
      <c r="D121" t="str">
        <f>IFERROR(__xludf.DUMMYFUNCTION("""COMPUTED_VALUE"""),"Dining")</f>
        <v>Dining</v>
      </c>
      <c r="E121" t="str">
        <f>IFERROR(__xludf.DUMMYFUNCTION("""COMPUTED_VALUE"""),"Venmo")</f>
        <v>Venmo</v>
      </c>
      <c r="F121">
        <v>320.0</v>
      </c>
    </row>
    <row r="122">
      <c r="A122" s="234">
        <f>IFERROR(__xludf.DUMMYFUNCTION("""COMPUTED_VALUE"""),46123.0)</f>
        <v>46123</v>
      </c>
      <c r="B122" t="str">
        <f>IFERROR(__xludf.DUMMYFUNCTION("""COMPUTED_VALUE"""),"Burger")</f>
        <v>Burger</v>
      </c>
      <c r="C122" s="237">
        <f>IFERROR(__xludf.DUMMYFUNCTION("""COMPUTED_VALUE"""),10.0)</f>
        <v>10</v>
      </c>
      <c r="D122" t="str">
        <f>IFERROR(__xludf.DUMMYFUNCTION("""COMPUTED_VALUE"""),"Dining")</f>
        <v>Dining</v>
      </c>
      <c r="E122" t="str">
        <f>IFERROR(__xludf.DUMMYFUNCTION("""COMPUTED_VALUE"""),"Venmo")</f>
        <v>Venmo</v>
      </c>
      <c r="F122">
        <v>320.0</v>
      </c>
    </row>
    <row r="123">
      <c r="A123" s="234">
        <f>IFERROR(__xludf.DUMMYFUNCTION("""COMPUTED_VALUE"""),46124.0)</f>
        <v>46124</v>
      </c>
      <c r="B123" t="str">
        <f>IFERROR(__xludf.DUMMYFUNCTION("""COMPUTED_VALUE"""),"Pizza pizza")</f>
        <v>Pizza pizza</v>
      </c>
      <c r="C123" s="237">
        <f>IFERROR(__xludf.DUMMYFUNCTION("""COMPUTED_VALUE"""),-6.0)</f>
        <v>-6</v>
      </c>
      <c r="D123" t="str">
        <f>IFERROR(__xludf.DUMMYFUNCTION("""COMPUTED_VALUE"""),"Dining")</f>
        <v>Dining</v>
      </c>
      <c r="E123" t="str">
        <f>IFERROR(__xludf.DUMMYFUNCTION("""COMPUTED_VALUE"""),"Venmo")</f>
        <v>Venmo</v>
      </c>
      <c r="F123">
        <v>320.0</v>
      </c>
    </row>
    <row r="124">
      <c r="A124" s="234">
        <f>IFERROR(__xludf.DUMMYFUNCTION("""COMPUTED_VALUE"""),46126.0)</f>
        <v>46126</v>
      </c>
      <c r="B124" t="str">
        <f>IFERROR(__xludf.DUMMYFUNCTION("""COMPUTED_VALUE"""),"60+34 WiFi mesh")</f>
        <v>60+34 WiFi mesh</v>
      </c>
      <c r="C124" s="237">
        <f>IFERROR(__xludf.DUMMYFUNCTION("""COMPUTED_VALUE"""),-94.0)</f>
        <v>-94</v>
      </c>
      <c r="D124" t="str">
        <f>IFERROR(__xludf.DUMMYFUNCTION("""COMPUTED_VALUE"""),"Shopping")</f>
        <v>Shopping</v>
      </c>
      <c r="E124" t="str">
        <f>IFERROR(__xludf.DUMMYFUNCTION("""COMPUTED_VALUE"""),"Venmo")</f>
        <v>Venmo</v>
      </c>
      <c r="F124">
        <v>97.0</v>
      </c>
    </row>
    <row r="125">
      <c r="A125" s="234">
        <f>IFERROR(__xludf.DUMMYFUNCTION("""COMPUTED_VALUE"""),46130.0)</f>
        <v>46130</v>
      </c>
      <c r="B125" t="str">
        <f>IFERROR(__xludf.DUMMYFUNCTION("""COMPUTED_VALUE"""),"Last Plant")</f>
        <v>Last Plant</v>
      </c>
      <c r="C125" s="237">
        <f>IFERROR(__xludf.DUMMYFUNCTION("""COMPUTED_VALUE"""),-20.0)</f>
        <v>-20</v>
      </c>
      <c r="D125" t="str">
        <f>IFERROR(__xludf.DUMMYFUNCTION("""COMPUTED_VALUE"""),"Shopping")</f>
        <v>Shopping</v>
      </c>
      <c r="E125" t="str">
        <f>IFERROR(__xludf.DUMMYFUNCTION("""COMPUTED_VALUE"""),"Venmo")</f>
        <v>Venmo</v>
      </c>
      <c r="F125">
        <v>97.0</v>
      </c>
    </row>
    <row r="126">
      <c r="A126" s="234">
        <f>IFERROR(__xludf.DUMMYFUNCTION("""COMPUTED_VALUE"""),46131.0)</f>
        <v>46131</v>
      </c>
      <c r="B126" t="str">
        <f>IFERROR(__xludf.DUMMYFUNCTION("""COMPUTED_VALUE"""),"Uber and sando")</f>
        <v>Uber and sando</v>
      </c>
      <c r="C126" s="237">
        <f>IFERROR(__xludf.DUMMYFUNCTION("""COMPUTED_VALUE"""),17.0)</f>
        <v>17</v>
      </c>
      <c r="D126" t="str">
        <f>IFERROR(__xludf.DUMMYFUNCTION("""COMPUTED_VALUE"""),"Dining")</f>
        <v>Dining</v>
      </c>
      <c r="E126" t="str">
        <f>IFERROR(__xludf.DUMMYFUNCTION("""COMPUTED_VALUE"""),"Venmo")</f>
        <v>Venmo</v>
      </c>
      <c r="F126">
        <v>320.0</v>
      </c>
    </row>
    <row r="127">
      <c r="A127" s="234">
        <f>IFERROR(__xludf.DUMMYFUNCTION("""COMPUTED_VALUE"""),46132.0)</f>
        <v>46132</v>
      </c>
      <c r="B127" t="str">
        <f>IFERROR(__xludf.DUMMYFUNCTION("""COMPUTED_VALUE"""),"Movie")</f>
        <v>Movie</v>
      </c>
      <c r="C127" s="237">
        <f>IFERROR(__xludf.DUMMYFUNCTION("""COMPUTED_VALUE"""),-5.0)</f>
        <v>-5</v>
      </c>
      <c r="D127" t="str">
        <f>IFERROR(__xludf.DUMMYFUNCTION("""COMPUTED_VALUE"""),"Entertainment")</f>
        <v>Entertainment</v>
      </c>
      <c r="E127" t="str">
        <f>IFERROR(__xludf.DUMMYFUNCTION("""COMPUTED_VALUE"""),"Venmo")</f>
        <v>Venmo</v>
      </c>
      <c r="F127">
        <v>47.5</v>
      </c>
    </row>
    <row r="128">
      <c r="A128" s="234">
        <f>IFERROR(__xludf.DUMMYFUNCTION("""COMPUTED_VALUE"""),46133.0)</f>
        <v>46133</v>
      </c>
      <c r="B128" t="str">
        <f>IFERROR(__xludf.DUMMYFUNCTION("""COMPUTED_VALUE"""),"🍪👨‍🍳🍪👩‍🍳🍪🧑‍🍳")</f>
        <v>🍪👨‍🍳🍪👩‍🍳🍪🧑‍🍳</v>
      </c>
      <c r="C128" s="237">
        <f>IFERROR(__xludf.DUMMYFUNCTION("""COMPUTED_VALUE"""),-7.0)</f>
        <v>-7</v>
      </c>
      <c r="D128" t="str">
        <f>IFERROR(__xludf.DUMMYFUNCTION("""COMPUTED_VALUE"""),"Dining")</f>
        <v>Dining</v>
      </c>
      <c r="E128" t="str">
        <f>IFERROR(__xludf.DUMMYFUNCTION("""COMPUTED_VALUE"""),"Venmo")</f>
        <v>Venmo</v>
      </c>
      <c r="F128">
        <v>320.0</v>
      </c>
    </row>
    <row r="129">
      <c r="A129" s="234">
        <f>IFERROR(__xludf.DUMMYFUNCTION("""COMPUTED_VALUE"""),46136.0)</f>
        <v>46136</v>
      </c>
      <c r="B129" t="str">
        <f>IFERROR(__xludf.DUMMYFUNCTION("""COMPUTED_VALUE"""),"🍀")</f>
        <v>🍀</v>
      </c>
      <c r="C129" s="237">
        <f>IFERROR(__xludf.DUMMYFUNCTION("""COMPUTED_VALUE"""),-14.0)</f>
        <v>-14</v>
      </c>
      <c r="D129" t="str">
        <f>IFERROR(__xludf.DUMMYFUNCTION("""COMPUTED_VALUE"""),"Shopping")</f>
        <v>Shopping</v>
      </c>
      <c r="E129" t="str">
        <f>IFERROR(__xludf.DUMMYFUNCTION("""COMPUTED_VALUE"""),"Venmo")</f>
        <v>Venmo</v>
      </c>
      <c r="F129">
        <v>97.0</v>
      </c>
    </row>
    <row r="130">
      <c r="A130" s="234">
        <f>IFERROR(__xludf.DUMMYFUNCTION("""COMPUTED_VALUE"""),46136.0)</f>
        <v>46136</v>
      </c>
      <c r="B130" t="str">
        <f>IFERROR(__xludf.DUMMYFUNCTION("""COMPUTED_VALUE"""),"Board")</f>
        <v>Board</v>
      </c>
      <c r="C130" s="237">
        <f>IFERROR(__xludf.DUMMYFUNCTION("""COMPUTED_VALUE"""),-50.0)</f>
        <v>-50</v>
      </c>
      <c r="D130" t="str">
        <f>IFERROR(__xludf.DUMMYFUNCTION("""COMPUTED_VALUE"""),"Shopping")</f>
        <v>Shopping</v>
      </c>
      <c r="E130" t="str">
        <f>IFERROR(__xludf.DUMMYFUNCTION("""COMPUTED_VALUE"""),"Venmo")</f>
        <v>Venmo</v>
      </c>
      <c r="F130">
        <v>97.0</v>
      </c>
    </row>
    <row r="131">
      <c r="A131" s="234">
        <f>IFERROR(__xludf.DUMMYFUNCTION("""COMPUTED_VALUE"""),46137.0)</f>
        <v>46137</v>
      </c>
      <c r="B131" t="str">
        <f>IFERROR(__xludf.DUMMYFUNCTION("""COMPUTED_VALUE"""),"Costco personal grubs (74-8 for Flautas!)")</f>
        <v>Costco personal grubs (74-8 for Flautas!)</v>
      </c>
      <c r="C131" s="237">
        <f>IFERROR(__xludf.DUMMYFUNCTION("""COMPUTED_VALUE"""),-66.0)</f>
        <v>-66</v>
      </c>
      <c r="D131" t="str">
        <f>IFERROR(__xludf.DUMMYFUNCTION("""COMPUTED_VALUE"""),"Groceries")</f>
        <v>Groceries</v>
      </c>
      <c r="E131" t="str">
        <f>IFERROR(__xludf.DUMMYFUNCTION("""COMPUTED_VALUE"""),"Venmo")</f>
        <v>Venmo</v>
      </c>
      <c r="F131">
        <v>500.0</v>
      </c>
    </row>
    <row r="132">
      <c r="A132" s="234">
        <f>IFERROR(__xludf.DUMMYFUNCTION("""COMPUTED_VALUE"""),46137.0)</f>
        <v>46137</v>
      </c>
      <c r="B132" t="str">
        <f>IFERROR(__xludf.DUMMYFUNCTION("""COMPUTED_VALUE"""),"Costco Communal - housewarming (150/4)")</f>
        <v>Costco Communal - housewarming (150/4)</v>
      </c>
      <c r="C132" s="237">
        <f>IFERROR(__xludf.DUMMYFUNCTION("""COMPUTED_VALUE"""),-37.5)</f>
        <v>-37.5</v>
      </c>
      <c r="D132" t="str">
        <f>IFERROR(__xludf.DUMMYFUNCTION("""COMPUTED_VALUE"""),"Shopping")</f>
        <v>Shopping</v>
      </c>
      <c r="E132" t="str">
        <f>IFERROR(__xludf.DUMMYFUNCTION("""COMPUTED_VALUE"""),"Venmo")</f>
        <v>Venmo</v>
      </c>
      <c r="F132">
        <v>97.0</v>
      </c>
    </row>
    <row r="133">
      <c r="A133" s="234">
        <f>IFERROR(__xludf.DUMMYFUNCTION("""COMPUTED_VALUE"""),46137.0)</f>
        <v>46137</v>
      </c>
      <c r="B133" t="str">
        <f>IFERROR(__xludf.DUMMYFUNCTION("""COMPUTED_VALUE"""),"Half of chipotle chicken 🐔")</f>
        <v>Half of chipotle chicken 🐔</v>
      </c>
      <c r="C133" s="237">
        <f>IFERROR(__xludf.DUMMYFUNCTION("""COMPUTED_VALUE"""),6.0)</f>
        <v>6</v>
      </c>
      <c r="D133" t="str">
        <f>IFERROR(__xludf.DUMMYFUNCTION("""COMPUTED_VALUE"""),"Groceries")</f>
        <v>Groceries</v>
      </c>
      <c r="E133" t="str">
        <f>IFERROR(__xludf.DUMMYFUNCTION("""COMPUTED_VALUE"""),"Venmo")</f>
        <v>Venmo</v>
      </c>
      <c r="F133">
        <v>500.0</v>
      </c>
    </row>
    <row r="134">
      <c r="A134" s="234">
        <f>IFERROR(__xludf.DUMMYFUNCTION("""COMPUTED_VALUE"""),46142.0)</f>
        <v>46142</v>
      </c>
      <c r="B134" t="str">
        <f>IFERROR(__xludf.DUMMYFUNCTION("""COMPUTED_VALUE"""),"MJ Movie!")</f>
        <v>MJ Movie!</v>
      </c>
      <c r="C134" s="237">
        <f>IFERROR(__xludf.DUMMYFUNCTION("""COMPUTED_VALUE"""),-8.0)</f>
        <v>-8</v>
      </c>
      <c r="D134" t="str">
        <f>IFERROR(__xludf.DUMMYFUNCTION("""COMPUTED_VALUE"""),"Entertainment")</f>
        <v>Entertainment</v>
      </c>
      <c r="E134" t="str">
        <f>IFERROR(__xludf.DUMMYFUNCTION("""COMPUTED_VALUE"""),"Venmo")</f>
        <v>Venmo</v>
      </c>
      <c r="F134">
        <v>47.5</v>
      </c>
    </row>
    <row r="135">
      <c r="A135" s="234">
        <f>IFERROR(__xludf.DUMMYFUNCTION("""COMPUTED_VALUE"""),46082.0)</f>
        <v>46082</v>
      </c>
      <c r="B135" t="str">
        <f>IFERROR(__xludf.DUMMYFUNCTION("""COMPUTED_VALUE"""),"Rent")</f>
        <v>Rent</v>
      </c>
      <c r="C135">
        <f>IFERROR(__xludf.DUMMYFUNCTION("""COMPUTED_VALUE"""),1327.0)</f>
        <v>1327</v>
      </c>
      <c r="D135" t="str">
        <f>IFERROR(__xludf.DUMMYFUNCTION("""COMPUTED_VALUE"""),"Rent")</f>
        <v>Rent</v>
      </c>
      <c r="E135" t="str">
        <f>IFERROR(__xludf.DUMMYFUNCTION("""COMPUTED_VALUE"""),"Venmo")</f>
        <v>Venmo</v>
      </c>
      <c r="F135">
        <v>1327.0</v>
      </c>
    </row>
    <row r="136">
      <c r="A136" s="234">
        <f>IFERROR(__xludf.DUMMYFUNCTION("""COMPUTED_VALUE"""),46093.0)</f>
        <v>46093</v>
      </c>
      <c r="B136" t="str">
        <f>IFERROR(__xludf.DUMMYFUNCTION("""COMPUTED_VALUE"""),"Groceries")</f>
        <v>Groceries</v>
      </c>
      <c r="C136">
        <f>IFERROR(__xludf.DUMMYFUNCTION("""COMPUTED_VALUE"""),-64.84)</f>
        <v>-64.84</v>
      </c>
      <c r="D136" t="str">
        <f>IFERROR(__xludf.DUMMYFUNCTION("""COMPUTED_VALUE"""),"Groceries")</f>
        <v>Groceries</v>
      </c>
      <c r="E136" t="str">
        <f>IFERROR(__xludf.DUMMYFUNCTION("""COMPUTED_VALUE"""),"EBT")</f>
        <v>EBT</v>
      </c>
      <c r="F136">
        <v>500.0</v>
      </c>
    </row>
    <row r="137">
      <c r="A137" s="234">
        <f>IFERROR(__xludf.DUMMYFUNCTION("""COMPUTED_VALUE"""),46094.0)</f>
        <v>46094</v>
      </c>
      <c r="B137" t="str">
        <f>IFERROR(__xludf.DUMMYFUNCTION("""COMPUTED_VALUE"""),"Groceries")</f>
        <v>Groceries</v>
      </c>
      <c r="C137">
        <f>IFERROR(__xludf.DUMMYFUNCTION("""COMPUTED_VALUE"""),-4.74)</f>
        <v>-4.74</v>
      </c>
      <c r="D137" t="str">
        <f>IFERROR(__xludf.DUMMYFUNCTION("""COMPUTED_VALUE"""),"Groceries")</f>
        <v>Groceries</v>
      </c>
      <c r="E137" t="str">
        <f>IFERROR(__xludf.DUMMYFUNCTION("""COMPUTED_VALUE"""),"EBT")</f>
        <v>EBT</v>
      </c>
      <c r="F137">
        <v>500.0</v>
      </c>
    </row>
    <row r="138">
      <c r="A138" s="234">
        <f>IFERROR(__xludf.DUMMYFUNCTION("""COMPUTED_VALUE"""),46099.0)</f>
        <v>46099</v>
      </c>
      <c r="B138" t="str">
        <f>IFERROR(__xludf.DUMMYFUNCTION("""COMPUTED_VALUE"""),"Groceries")</f>
        <v>Groceries</v>
      </c>
      <c r="C138">
        <f>IFERROR(__xludf.DUMMYFUNCTION("""COMPUTED_VALUE"""),-46.05)</f>
        <v>-46.05</v>
      </c>
      <c r="D138" t="str">
        <f>IFERROR(__xludf.DUMMYFUNCTION("""COMPUTED_VALUE"""),"Groceries")</f>
        <v>Groceries</v>
      </c>
      <c r="E138" t="str">
        <f>IFERROR(__xludf.DUMMYFUNCTION("""COMPUTED_VALUE"""),"EBT")</f>
        <v>EBT</v>
      </c>
      <c r="F138">
        <v>500.0</v>
      </c>
    </row>
    <row r="139">
      <c r="A139" s="234">
        <f>IFERROR(__xludf.DUMMYFUNCTION("""COMPUTED_VALUE"""),46104.0)</f>
        <v>46104</v>
      </c>
      <c r="B139" t="str">
        <f>IFERROR(__xludf.DUMMYFUNCTION("""COMPUTED_VALUE"""),"Groceries")</f>
        <v>Groceries</v>
      </c>
      <c r="C139">
        <f>IFERROR(__xludf.DUMMYFUNCTION("""COMPUTED_VALUE"""),-44.81)</f>
        <v>-44.81</v>
      </c>
      <c r="D139" t="str">
        <f>IFERROR(__xludf.DUMMYFUNCTION("""COMPUTED_VALUE"""),"Groceries")</f>
        <v>Groceries</v>
      </c>
      <c r="E139" t="str">
        <f>IFERROR(__xludf.DUMMYFUNCTION("""COMPUTED_VALUE"""),"EBT")</f>
        <v>EBT</v>
      </c>
      <c r="F139">
        <v>500.0</v>
      </c>
    </row>
    <row r="140">
      <c r="A140" s="234">
        <f>IFERROR(__xludf.DUMMYFUNCTION("""COMPUTED_VALUE"""),46108.0)</f>
        <v>46108</v>
      </c>
      <c r="B140" t="str">
        <f>IFERROR(__xludf.DUMMYFUNCTION("""COMPUTED_VALUE"""),"Groceries")</f>
        <v>Groceries</v>
      </c>
      <c r="C140">
        <f>IFERROR(__xludf.DUMMYFUNCTION("""COMPUTED_VALUE"""),-6.99)</f>
        <v>-6.99</v>
      </c>
      <c r="D140" t="str">
        <f>IFERROR(__xludf.DUMMYFUNCTION("""COMPUTED_VALUE"""),"Groceries")</f>
        <v>Groceries</v>
      </c>
      <c r="E140" t="str">
        <f>IFERROR(__xludf.DUMMYFUNCTION("""COMPUTED_VALUE"""),"EBT")</f>
        <v>EBT</v>
      </c>
      <c r="F140">
        <v>500.0</v>
      </c>
    </row>
    <row r="141">
      <c r="A141" s="234">
        <f>IFERROR(__xludf.DUMMYFUNCTION("""COMPUTED_VALUE"""),46113.0)</f>
        <v>46113</v>
      </c>
      <c r="B141" t="str">
        <f>IFERROR(__xludf.DUMMYFUNCTION("""COMPUTED_VALUE"""),"Groceries")</f>
        <v>Groceries</v>
      </c>
      <c r="C141">
        <f>IFERROR(__xludf.DUMMYFUNCTION("""COMPUTED_VALUE"""),-94.73)</f>
        <v>-94.73</v>
      </c>
      <c r="D141" t="str">
        <f>IFERROR(__xludf.DUMMYFUNCTION("""COMPUTED_VALUE"""),"Groceries")</f>
        <v>Groceries</v>
      </c>
      <c r="E141" t="str">
        <f>IFERROR(__xludf.DUMMYFUNCTION("""COMPUTED_VALUE"""),"EBT")</f>
        <v>EBT</v>
      </c>
      <c r="F141">
        <v>500.0</v>
      </c>
    </row>
    <row r="142">
      <c r="A142" s="234">
        <f>IFERROR(__xludf.DUMMYFUNCTION("""COMPUTED_VALUE"""),46121.0)</f>
        <v>46121</v>
      </c>
      <c r="B142" t="str">
        <f>IFERROR(__xludf.DUMMYFUNCTION("""COMPUTED_VALUE"""),"Groceries")</f>
        <v>Groceries</v>
      </c>
      <c r="C142">
        <f>IFERROR(__xludf.DUMMYFUNCTION("""COMPUTED_VALUE"""),-64.19)</f>
        <v>-64.19</v>
      </c>
      <c r="D142" t="str">
        <f>IFERROR(__xludf.DUMMYFUNCTION("""COMPUTED_VALUE"""),"Groceries")</f>
        <v>Groceries</v>
      </c>
      <c r="E142" t="str">
        <f>IFERROR(__xludf.DUMMYFUNCTION("""COMPUTED_VALUE"""),"EBT")</f>
        <v>EBT</v>
      </c>
      <c r="F142">
        <v>500.0</v>
      </c>
    </row>
    <row r="143">
      <c r="A143" s="234">
        <f>IFERROR(__xludf.DUMMYFUNCTION("""COMPUTED_VALUE"""),46134.0)</f>
        <v>46134</v>
      </c>
      <c r="B143" t="str">
        <f>IFERROR(__xludf.DUMMYFUNCTION("""COMPUTED_VALUE"""),"Groceries")</f>
        <v>Groceries</v>
      </c>
      <c r="C143">
        <f>IFERROR(__xludf.DUMMYFUNCTION("""COMPUTED_VALUE"""),-68.23)</f>
        <v>-68.23</v>
      </c>
      <c r="D143" t="str">
        <f>IFERROR(__xludf.DUMMYFUNCTION("""COMPUTED_VALUE"""),"Groceries")</f>
        <v>Groceries</v>
      </c>
      <c r="E143" t="str">
        <f>IFERROR(__xludf.DUMMYFUNCTION("""COMPUTED_VALUE"""),"EBT")</f>
        <v>EBT</v>
      </c>
      <c r="F143">
        <v>500.0</v>
      </c>
    </row>
    <row r="144">
      <c r="A144" s="234">
        <f>IFERROR(__xludf.DUMMYFUNCTION("""COMPUTED_VALUE"""),46141.0)</f>
        <v>46141</v>
      </c>
      <c r="B144" t="str">
        <f>IFERROR(__xludf.DUMMYFUNCTION("""COMPUTED_VALUE"""),"Groceries")</f>
        <v>Groceries</v>
      </c>
      <c r="C144">
        <f>IFERROR(__xludf.DUMMYFUNCTION("""COMPUTED_VALUE"""),-18.0)</f>
        <v>-18</v>
      </c>
      <c r="D144" t="str">
        <f>IFERROR(__xludf.DUMMYFUNCTION("""COMPUTED_VALUE"""),"Groceries")</f>
        <v>Groceries</v>
      </c>
      <c r="E144" t="str">
        <f>IFERROR(__xludf.DUMMYFUNCTION("""COMPUTED_VALUE"""),"EBT")</f>
        <v>EBT</v>
      </c>
      <c r="F144">
        <v>500.0</v>
      </c>
    </row>
    <row r="145">
      <c r="F145" t="s">
        <v>167</v>
      </c>
    </row>
    <row r="146">
      <c r="F146" t="s">
        <v>167</v>
      </c>
    </row>
    <row r="147">
      <c r="F147" t="s">
        <v>167</v>
      </c>
    </row>
    <row r="148">
      <c r="F148" t="s">
        <v>167</v>
      </c>
    </row>
    <row r="149">
      <c r="F149" t="s">
        <v>167</v>
      </c>
    </row>
    <row r="150">
      <c r="F150" t="s">
        <v>167</v>
      </c>
    </row>
    <row r="151">
      <c r="F151" t="s">
        <v>167</v>
      </c>
    </row>
    <row r="152">
      <c r="F152" t="s">
        <v>167</v>
      </c>
    </row>
    <row r="153">
      <c r="F153" t="s">
        <v>167</v>
      </c>
    </row>
    <row r="154">
      <c r="F154" t="s">
        <v>167</v>
      </c>
    </row>
    <row r="155">
      <c r="F155" t="s">
        <v>167</v>
      </c>
    </row>
    <row r="156">
      <c r="F156" t="s">
        <v>167</v>
      </c>
    </row>
    <row r="157">
      <c r="F157" t="s">
        <v>167</v>
      </c>
    </row>
    <row r="158">
      <c r="F158" t="s">
        <v>167</v>
      </c>
    </row>
    <row r="159">
      <c r="F159" t="s">
        <v>167</v>
      </c>
    </row>
    <row r="160">
      <c r="F160" t="s">
        <v>167</v>
      </c>
    </row>
    <row r="161">
      <c r="F161" t="s">
        <v>167</v>
      </c>
    </row>
    <row r="162">
      <c r="F162" t="s">
        <v>167</v>
      </c>
    </row>
    <row r="163">
      <c r="F163" t="s">
        <v>167</v>
      </c>
    </row>
    <row r="164">
      <c r="F164" t="s">
        <v>167</v>
      </c>
    </row>
    <row r="165">
      <c r="F165" t="s">
        <v>167</v>
      </c>
    </row>
    <row r="166">
      <c r="F166" t="s">
        <v>167</v>
      </c>
    </row>
    <row r="167">
      <c r="F167" t="s">
        <v>167</v>
      </c>
    </row>
    <row r="168">
      <c r="F168" t="s">
        <v>167</v>
      </c>
    </row>
    <row r="169">
      <c r="F169" t="s">
        <v>167</v>
      </c>
    </row>
    <row r="170">
      <c r="F170" t="s">
        <v>167</v>
      </c>
    </row>
    <row r="171">
      <c r="F171" t="s">
        <v>167</v>
      </c>
    </row>
    <row r="172">
      <c r="F172" t="s">
        <v>167</v>
      </c>
    </row>
    <row r="173">
      <c r="F173" t="s">
        <v>167</v>
      </c>
    </row>
    <row r="174">
      <c r="F174" t="s">
        <v>167</v>
      </c>
    </row>
    <row r="175">
      <c r="F175" t="s">
        <v>167</v>
      </c>
    </row>
    <row r="176">
      <c r="F176" t="s">
        <v>167</v>
      </c>
    </row>
    <row r="177">
      <c r="F177" t="s">
        <v>167</v>
      </c>
    </row>
    <row r="178">
      <c r="F178" t="s">
        <v>167</v>
      </c>
    </row>
    <row r="179">
      <c r="F179" t="s">
        <v>167</v>
      </c>
    </row>
    <row r="180">
      <c r="F180" t="s">
        <v>167</v>
      </c>
    </row>
    <row r="181">
      <c r="F181" t="s">
        <v>167</v>
      </c>
    </row>
    <row r="182">
      <c r="F182" t="s">
        <v>167</v>
      </c>
    </row>
    <row r="183">
      <c r="F183" t="s">
        <v>167</v>
      </c>
    </row>
    <row r="184">
      <c r="F184" t="s">
        <v>167</v>
      </c>
    </row>
    <row r="185">
      <c r="F185" t="s">
        <v>167</v>
      </c>
    </row>
    <row r="186">
      <c r="F186" t="s">
        <v>167</v>
      </c>
    </row>
    <row r="187">
      <c r="F187" t="s">
        <v>167</v>
      </c>
    </row>
    <row r="188">
      <c r="F188" t="s">
        <v>167</v>
      </c>
    </row>
    <row r="189">
      <c r="F189" t="s">
        <v>167</v>
      </c>
    </row>
    <row r="190">
      <c r="F190" t="s">
        <v>167</v>
      </c>
    </row>
    <row r="191">
      <c r="F191" t="s">
        <v>167</v>
      </c>
    </row>
    <row r="192">
      <c r="F192" t="s">
        <v>167</v>
      </c>
    </row>
    <row r="193">
      <c r="F193" t="s">
        <v>167</v>
      </c>
    </row>
    <row r="194">
      <c r="F194" t="s">
        <v>167</v>
      </c>
    </row>
    <row r="195">
      <c r="F195" t="s">
        <v>167</v>
      </c>
    </row>
    <row r="196">
      <c r="F196" t="s">
        <v>167</v>
      </c>
    </row>
    <row r="197">
      <c r="F197" t="s">
        <v>167</v>
      </c>
    </row>
    <row r="198">
      <c r="F198" t="s">
        <v>167</v>
      </c>
    </row>
    <row r="199">
      <c r="F199" t="s">
        <v>167</v>
      </c>
    </row>
    <row r="200">
      <c r="F200" t="s">
        <v>167</v>
      </c>
    </row>
    <row r="201">
      <c r="F201" t="s">
        <v>167</v>
      </c>
    </row>
    <row r="202">
      <c r="F202" t="s">
        <v>167</v>
      </c>
    </row>
    <row r="203">
      <c r="F203" t="s">
        <v>167</v>
      </c>
    </row>
    <row r="204">
      <c r="F204" t="s">
        <v>167</v>
      </c>
    </row>
    <row r="205">
      <c r="F205" t="s">
        <v>167</v>
      </c>
    </row>
    <row r="206">
      <c r="F206" t="s">
        <v>167</v>
      </c>
    </row>
    <row r="207">
      <c r="F207" t="s">
        <v>167</v>
      </c>
    </row>
    <row r="208">
      <c r="F208" t="s">
        <v>167</v>
      </c>
    </row>
    <row r="209">
      <c r="F209" t="s">
        <v>167</v>
      </c>
    </row>
    <row r="210">
      <c r="F210" t="s">
        <v>167</v>
      </c>
    </row>
    <row r="211">
      <c r="F211" t="s">
        <v>167</v>
      </c>
    </row>
    <row r="212">
      <c r="F212" t="s">
        <v>167</v>
      </c>
    </row>
    <row r="213">
      <c r="F213" t="s">
        <v>167</v>
      </c>
    </row>
    <row r="214">
      <c r="F214" t="s">
        <v>167</v>
      </c>
    </row>
    <row r="215">
      <c r="F215" t="s">
        <v>167</v>
      </c>
    </row>
    <row r="216">
      <c r="F216" t="s">
        <v>167</v>
      </c>
    </row>
    <row r="217">
      <c r="F217" t="s">
        <v>167</v>
      </c>
    </row>
    <row r="218">
      <c r="F218" t="s">
        <v>167</v>
      </c>
    </row>
    <row r="219">
      <c r="F219" t="s">
        <v>167</v>
      </c>
    </row>
    <row r="220">
      <c r="F220" t="s">
        <v>167</v>
      </c>
    </row>
    <row r="221">
      <c r="F221" t="s">
        <v>167</v>
      </c>
    </row>
    <row r="222">
      <c r="F222" t="s">
        <v>167</v>
      </c>
    </row>
    <row r="223">
      <c r="F223" t="s">
        <v>167</v>
      </c>
    </row>
    <row r="224">
      <c r="F224" t="s">
        <v>167</v>
      </c>
    </row>
    <row r="225">
      <c r="F225" t="s">
        <v>167</v>
      </c>
    </row>
    <row r="226">
      <c r="F226" t="s">
        <v>167</v>
      </c>
    </row>
    <row r="227">
      <c r="F227" t="s">
        <v>167</v>
      </c>
    </row>
    <row r="228">
      <c r="F228" t="s">
        <v>167</v>
      </c>
    </row>
    <row r="229">
      <c r="F229" t="s">
        <v>167</v>
      </c>
    </row>
    <row r="230">
      <c r="F230" t="s">
        <v>167</v>
      </c>
    </row>
    <row r="231">
      <c r="F231" t="s">
        <v>167</v>
      </c>
    </row>
    <row r="232">
      <c r="F232" t="s">
        <v>167</v>
      </c>
    </row>
    <row r="233">
      <c r="F233" t="s">
        <v>167</v>
      </c>
    </row>
    <row r="234">
      <c r="F234" t="s">
        <v>167</v>
      </c>
    </row>
    <row r="235">
      <c r="F235" t="s">
        <v>167</v>
      </c>
    </row>
    <row r="236">
      <c r="F236" t="s">
        <v>167</v>
      </c>
    </row>
    <row r="237">
      <c r="F237" t="s">
        <v>167</v>
      </c>
    </row>
    <row r="238">
      <c r="F238" t="s">
        <v>167</v>
      </c>
    </row>
    <row r="239">
      <c r="F239" t="s">
        <v>167</v>
      </c>
    </row>
    <row r="240">
      <c r="F240" t="s">
        <v>167</v>
      </c>
    </row>
    <row r="241">
      <c r="F241" t="s">
        <v>167</v>
      </c>
    </row>
    <row r="242">
      <c r="F242" t="s">
        <v>167</v>
      </c>
    </row>
    <row r="243">
      <c r="F243" t="s">
        <v>167</v>
      </c>
    </row>
    <row r="244">
      <c r="F244" t="s">
        <v>167</v>
      </c>
    </row>
    <row r="245">
      <c r="F245" t="s">
        <v>167</v>
      </c>
    </row>
    <row r="246">
      <c r="F246" t="s">
        <v>167</v>
      </c>
    </row>
    <row r="247">
      <c r="F247" t="s">
        <v>167</v>
      </c>
    </row>
    <row r="248">
      <c r="F248" t="s">
        <v>167</v>
      </c>
    </row>
    <row r="249">
      <c r="F249" t="s">
        <v>167</v>
      </c>
    </row>
    <row r="250">
      <c r="F250" t="s">
        <v>167</v>
      </c>
    </row>
    <row r="251">
      <c r="F251" t="s">
        <v>167</v>
      </c>
    </row>
    <row r="252">
      <c r="F252" t="s">
        <v>167</v>
      </c>
    </row>
    <row r="253">
      <c r="F253" t="s">
        <v>167</v>
      </c>
    </row>
    <row r="254">
      <c r="F254" t="s">
        <v>167</v>
      </c>
    </row>
    <row r="255">
      <c r="F255" t="s">
        <v>167</v>
      </c>
    </row>
    <row r="256">
      <c r="F256" t="s">
        <v>167</v>
      </c>
    </row>
    <row r="257">
      <c r="F257" t="s">
        <v>167</v>
      </c>
    </row>
    <row r="258">
      <c r="F258" t="s">
        <v>167</v>
      </c>
    </row>
    <row r="259">
      <c r="F259" t="s">
        <v>167</v>
      </c>
    </row>
    <row r="260">
      <c r="F260" t="s">
        <v>167</v>
      </c>
    </row>
    <row r="261">
      <c r="F261" t="s">
        <v>167</v>
      </c>
    </row>
    <row r="262">
      <c r="F262" t="s">
        <v>167</v>
      </c>
    </row>
    <row r="263">
      <c r="F263" t="s">
        <v>167</v>
      </c>
    </row>
    <row r="264">
      <c r="F264" t="s">
        <v>167</v>
      </c>
    </row>
    <row r="265">
      <c r="F265" t="s">
        <v>167</v>
      </c>
    </row>
    <row r="266">
      <c r="F266" t="s">
        <v>167</v>
      </c>
    </row>
    <row r="267">
      <c r="F267" t="s">
        <v>167</v>
      </c>
    </row>
    <row r="268">
      <c r="F268" t="s">
        <v>167</v>
      </c>
    </row>
    <row r="269">
      <c r="F269" t="s">
        <v>167</v>
      </c>
    </row>
    <row r="270">
      <c r="F270" t="s">
        <v>167</v>
      </c>
    </row>
    <row r="271">
      <c r="F271" t="s">
        <v>167</v>
      </c>
    </row>
    <row r="272">
      <c r="F272" t="s">
        <v>167</v>
      </c>
    </row>
    <row r="273">
      <c r="F273" t="s">
        <v>167</v>
      </c>
    </row>
    <row r="274">
      <c r="F274" t="s">
        <v>167</v>
      </c>
    </row>
    <row r="275">
      <c r="F275" t="s">
        <v>167</v>
      </c>
    </row>
    <row r="276">
      <c r="F276" t="s">
        <v>167</v>
      </c>
    </row>
    <row r="277">
      <c r="F277" t="s">
        <v>167</v>
      </c>
    </row>
    <row r="278">
      <c r="F278" t="s">
        <v>167</v>
      </c>
    </row>
    <row r="279">
      <c r="F279" t="s">
        <v>167</v>
      </c>
    </row>
    <row r="280">
      <c r="F280" t="s">
        <v>167</v>
      </c>
    </row>
    <row r="281">
      <c r="F281" t="s">
        <v>167</v>
      </c>
    </row>
    <row r="282">
      <c r="F282" t="s">
        <v>167</v>
      </c>
    </row>
    <row r="283">
      <c r="F283" t="s">
        <v>167</v>
      </c>
    </row>
    <row r="284">
      <c r="F284" t="s">
        <v>167</v>
      </c>
    </row>
    <row r="285">
      <c r="F285" t="s">
        <v>167</v>
      </c>
    </row>
    <row r="286">
      <c r="F286" t="s">
        <v>167</v>
      </c>
    </row>
    <row r="287">
      <c r="F287" t="s">
        <v>167</v>
      </c>
    </row>
    <row r="288">
      <c r="F288" t="s">
        <v>167</v>
      </c>
    </row>
    <row r="289">
      <c r="F289" t="s">
        <v>167</v>
      </c>
    </row>
    <row r="290">
      <c r="F290" t="s">
        <v>167</v>
      </c>
    </row>
    <row r="291">
      <c r="F291" t="s">
        <v>167</v>
      </c>
    </row>
    <row r="292">
      <c r="F292" t="s">
        <v>167</v>
      </c>
    </row>
    <row r="293">
      <c r="F293" t="s">
        <v>167</v>
      </c>
    </row>
    <row r="294">
      <c r="F294" t="s">
        <v>167</v>
      </c>
    </row>
    <row r="295">
      <c r="F295" t="s">
        <v>167</v>
      </c>
    </row>
    <row r="296">
      <c r="F296" t="s">
        <v>167</v>
      </c>
    </row>
    <row r="297">
      <c r="F297" t="s">
        <v>167</v>
      </c>
    </row>
    <row r="298">
      <c r="F298" t="s">
        <v>167</v>
      </c>
    </row>
    <row r="299">
      <c r="F299" t="s">
        <v>167</v>
      </c>
    </row>
    <row r="300">
      <c r="F300" t="s">
        <v>167</v>
      </c>
    </row>
    <row r="301">
      <c r="F301" t="s">
        <v>167</v>
      </c>
    </row>
    <row r="302">
      <c r="F302" t="s">
        <v>167</v>
      </c>
    </row>
    <row r="303">
      <c r="F303" t="s">
        <v>167</v>
      </c>
    </row>
    <row r="304">
      <c r="F304" t="s">
        <v>167</v>
      </c>
    </row>
    <row r="305">
      <c r="F305" t="s">
        <v>167</v>
      </c>
    </row>
    <row r="306">
      <c r="F306" t="s">
        <v>167</v>
      </c>
    </row>
    <row r="307">
      <c r="F307" t="s">
        <v>167</v>
      </c>
    </row>
    <row r="308">
      <c r="F308" t="s">
        <v>167</v>
      </c>
    </row>
    <row r="309">
      <c r="F309" t="s">
        <v>167</v>
      </c>
    </row>
    <row r="310">
      <c r="F310" t="s">
        <v>167</v>
      </c>
    </row>
    <row r="311">
      <c r="F311" t="s">
        <v>167</v>
      </c>
    </row>
    <row r="312">
      <c r="F312" t="s">
        <v>167</v>
      </c>
    </row>
    <row r="313">
      <c r="F313" t="s">
        <v>167</v>
      </c>
    </row>
    <row r="314">
      <c r="F314" t="s">
        <v>167</v>
      </c>
    </row>
    <row r="315">
      <c r="F315" t="s">
        <v>167</v>
      </c>
    </row>
    <row r="316">
      <c r="F316" t="s">
        <v>167</v>
      </c>
    </row>
    <row r="317">
      <c r="F317" t="s">
        <v>167</v>
      </c>
    </row>
    <row r="318">
      <c r="F318" t="s">
        <v>167</v>
      </c>
    </row>
    <row r="319">
      <c r="F319" t="s">
        <v>167</v>
      </c>
    </row>
    <row r="320">
      <c r="F320" t="s">
        <v>167</v>
      </c>
    </row>
    <row r="321">
      <c r="F321" t="s">
        <v>167</v>
      </c>
    </row>
    <row r="322">
      <c r="F322" t="s">
        <v>167</v>
      </c>
    </row>
    <row r="323">
      <c r="F323" t="s">
        <v>167</v>
      </c>
    </row>
    <row r="324">
      <c r="F324" t="s">
        <v>167</v>
      </c>
    </row>
    <row r="325">
      <c r="F325" t="s">
        <v>167</v>
      </c>
    </row>
    <row r="326">
      <c r="F326" t="s">
        <v>167</v>
      </c>
    </row>
    <row r="327">
      <c r="F327" t="s">
        <v>167</v>
      </c>
    </row>
    <row r="328">
      <c r="F328" t="s">
        <v>167</v>
      </c>
    </row>
    <row r="329">
      <c r="F329" t="s">
        <v>167</v>
      </c>
    </row>
    <row r="330">
      <c r="F330" t="s">
        <v>167</v>
      </c>
    </row>
    <row r="331">
      <c r="F331" t="s">
        <v>167</v>
      </c>
    </row>
    <row r="332">
      <c r="F332" t="s">
        <v>167</v>
      </c>
    </row>
    <row r="333">
      <c r="F333" t="s">
        <v>167</v>
      </c>
    </row>
    <row r="334">
      <c r="F334" t="s">
        <v>167</v>
      </c>
    </row>
    <row r="335">
      <c r="F335" t="s">
        <v>167</v>
      </c>
    </row>
    <row r="336">
      <c r="F336" t="s">
        <v>167</v>
      </c>
    </row>
    <row r="337">
      <c r="F337" t="s">
        <v>167</v>
      </c>
    </row>
    <row r="338">
      <c r="F338" t="s">
        <v>167</v>
      </c>
    </row>
    <row r="339">
      <c r="F339" t="s">
        <v>167</v>
      </c>
    </row>
    <row r="340">
      <c r="F340" t="s">
        <v>167</v>
      </c>
    </row>
    <row r="341">
      <c r="F341" t="s">
        <v>167</v>
      </c>
    </row>
    <row r="342">
      <c r="F342" t="s">
        <v>167</v>
      </c>
    </row>
    <row r="343">
      <c r="F343" t="s">
        <v>167</v>
      </c>
    </row>
    <row r="344">
      <c r="F344" t="s">
        <v>167</v>
      </c>
    </row>
    <row r="345">
      <c r="F345" t="s">
        <v>167</v>
      </c>
    </row>
    <row r="346">
      <c r="F346" t="s">
        <v>167</v>
      </c>
    </row>
    <row r="347">
      <c r="F347" t="s">
        <v>167</v>
      </c>
    </row>
    <row r="348">
      <c r="F348" t="s">
        <v>167</v>
      </c>
    </row>
    <row r="349">
      <c r="F349" t="s">
        <v>167</v>
      </c>
    </row>
    <row r="350">
      <c r="F350" t="s">
        <v>167</v>
      </c>
    </row>
    <row r="351">
      <c r="F351" t="s">
        <v>167</v>
      </c>
    </row>
    <row r="352">
      <c r="F352" t="s">
        <v>167</v>
      </c>
    </row>
    <row r="353">
      <c r="F353" t="s">
        <v>167</v>
      </c>
    </row>
    <row r="354">
      <c r="F354" t="s">
        <v>167</v>
      </c>
    </row>
    <row r="355">
      <c r="F355" t="s">
        <v>167</v>
      </c>
    </row>
    <row r="356">
      <c r="F356" t="s">
        <v>167</v>
      </c>
    </row>
    <row r="357">
      <c r="F357" t="s">
        <v>167</v>
      </c>
    </row>
    <row r="358">
      <c r="F358" t="s">
        <v>167</v>
      </c>
    </row>
    <row r="359">
      <c r="F359" t="s">
        <v>167</v>
      </c>
    </row>
    <row r="360">
      <c r="F360" t="s">
        <v>167</v>
      </c>
    </row>
    <row r="361">
      <c r="F361" t="s">
        <v>167</v>
      </c>
    </row>
    <row r="362">
      <c r="F362" t="s">
        <v>167</v>
      </c>
    </row>
    <row r="363">
      <c r="F363" t="s">
        <v>167</v>
      </c>
    </row>
    <row r="364">
      <c r="F364" t="s">
        <v>167</v>
      </c>
    </row>
    <row r="365">
      <c r="F365" t="s">
        <v>167</v>
      </c>
    </row>
    <row r="366">
      <c r="F366" t="s">
        <v>167</v>
      </c>
    </row>
    <row r="367">
      <c r="F367" t="s">
        <v>167</v>
      </c>
    </row>
    <row r="368">
      <c r="F368" t="s">
        <v>167</v>
      </c>
    </row>
    <row r="369">
      <c r="F369" t="s">
        <v>167</v>
      </c>
    </row>
    <row r="370">
      <c r="F370" t="s">
        <v>167</v>
      </c>
    </row>
    <row r="371">
      <c r="F371" t="s">
        <v>167</v>
      </c>
    </row>
    <row r="372">
      <c r="F372" t="s">
        <v>167</v>
      </c>
    </row>
    <row r="373">
      <c r="F373" t="s">
        <v>167</v>
      </c>
    </row>
    <row r="374">
      <c r="F374" t="s">
        <v>167</v>
      </c>
    </row>
    <row r="375">
      <c r="F375" t="s">
        <v>167</v>
      </c>
    </row>
    <row r="376">
      <c r="F376" t="s">
        <v>167</v>
      </c>
    </row>
    <row r="377">
      <c r="F377" t="s">
        <v>167</v>
      </c>
    </row>
    <row r="378">
      <c r="F378" t="s">
        <v>167</v>
      </c>
    </row>
    <row r="379">
      <c r="F379" t="s">
        <v>167</v>
      </c>
    </row>
    <row r="380">
      <c r="F380" t="s">
        <v>167</v>
      </c>
    </row>
    <row r="381">
      <c r="F381" t="s">
        <v>167</v>
      </c>
    </row>
    <row r="382">
      <c r="F382" t="s">
        <v>167</v>
      </c>
    </row>
    <row r="383">
      <c r="F383" t="s">
        <v>167</v>
      </c>
    </row>
    <row r="384">
      <c r="F384" t="s">
        <v>167</v>
      </c>
    </row>
    <row r="385">
      <c r="F385" t="s">
        <v>167</v>
      </c>
    </row>
    <row r="386">
      <c r="F386" t="s">
        <v>167</v>
      </c>
    </row>
    <row r="387">
      <c r="F387" t="s">
        <v>167</v>
      </c>
    </row>
    <row r="388">
      <c r="F388" t="s">
        <v>167</v>
      </c>
    </row>
    <row r="389">
      <c r="F389" t="s">
        <v>167</v>
      </c>
    </row>
    <row r="390">
      <c r="F390" t="s">
        <v>167</v>
      </c>
    </row>
    <row r="391">
      <c r="F391" t="s">
        <v>167</v>
      </c>
    </row>
    <row r="392">
      <c r="F392" t="s">
        <v>167</v>
      </c>
    </row>
    <row r="393">
      <c r="F393" t="s">
        <v>167</v>
      </c>
    </row>
    <row r="394">
      <c r="F394" t="s">
        <v>167</v>
      </c>
    </row>
    <row r="395">
      <c r="F395" t="s">
        <v>167</v>
      </c>
    </row>
    <row r="396">
      <c r="F396" t="s">
        <v>167</v>
      </c>
    </row>
    <row r="397">
      <c r="F397" t="s">
        <v>167</v>
      </c>
    </row>
    <row r="398">
      <c r="F398" t="s">
        <v>167</v>
      </c>
    </row>
    <row r="399">
      <c r="F399" t="s">
        <v>167</v>
      </c>
    </row>
    <row r="400">
      <c r="F400" t="s">
        <v>167</v>
      </c>
    </row>
    <row r="401">
      <c r="F401" t="s">
        <v>167</v>
      </c>
    </row>
    <row r="402">
      <c r="F402" t="s">
        <v>167</v>
      </c>
    </row>
    <row r="403">
      <c r="F403" t="s">
        <v>167</v>
      </c>
    </row>
    <row r="404">
      <c r="F404" t="s">
        <v>167</v>
      </c>
    </row>
    <row r="405">
      <c r="F405" t="s">
        <v>167</v>
      </c>
    </row>
    <row r="406">
      <c r="F406" t="s">
        <v>167</v>
      </c>
    </row>
    <row r="407">
      <c r="F407" t="s">
        <v>167</v>
      </c>
    </row>
    <row r="408">
      <c r="F408" t="s">
        <v>167</v>
      </c>
    </row>
    <row r="409">
      <c r="F409" t="s">
        <v>167</v>
      </c>
    </row>
    <row r="410">
      <c r="F410" t="s">
        <v>167</v>
      </c>
    </row>
    <row r="411">
      <c r="F411" t="s">
        <v>167</v>
      </c>
    </row>
    <row r="412">
      <c r="F412" t="s">
        <v>167</v>
      </c>
    </row>
    <row r="413">
      <c r="F413" t="s">
        <v>167</v>
      </c>
    </row>
    <row r="414">
      <c r="F414" t="s">
        <v>167</v>
      </c>
    </row>
    <row r="415">
      <c r="F415" t="s">
        <v>167</v>
      </c>
    </row>
    <row r="416">
      <c r="F416" t="s">
        <v>167</v>
      </c>
    </row>
    <row r="417">
      <c r="F417" t="s">
        <v>167</v>
      </c>
    </row>
    <row r="418">
      <c r="F418" t="s">
        <v>167</v>
      </c>
    </row>
    <row r="419">
      <c r="F419" t="s">
        <v>167</v>
      </c>
    </row>
    <row r="420">
      <c r="F420" t="s">
        <v>167</v>
      </c>
    </row>
    <row r="421">
      <c r="F421" t="s">
        <v>167</v>
      </c>
    </row>
    <row r="422">
      <c r="F422" t="s">
        <v>167</v>
      </c>
    </row>
    <row r="423">
      <c r="F423" t="s">
        <v>167</v>
      </c>
    </row>
    <row r="424">
      <c r="F424" t="s">
        <v>167</v>
      </c>
    </row>
    <row r="425">
      <c r="F425" t="s">
        <v>167</v>
      </c>
    </row>
    <row r="426">
      <c r="F426" t="s">
        <v>167</v>
      </c>
    </row>
    <row r="427">
      <c r="F427" t="s">
        <v>167</v>
      </c>
    </row>
    <row r="428">
      <c r="F428" t="s">
        <v>167</v>
      </c>
    </row>
    <row r="429">
      <c r="F429" t="s">
        <v>167</v>
      </c>
    </row>
    <row r="430">
      <c r="F430" t="s">
        <v>167</v>
      </c>
    </row>
    <row r="431">
      <c r="F431" t="s">
        <v>167</v>
      </c>
    </row>
    <row r="432">
      <c r="F432" t="s">
        <v>167</v>
      </c>
    </row>
    <row r="433">
      <c r="F433" t="s">
        <v>167</v>
      </c>
    </row>
    <row r="434">
      <c r="F434" t="s">
        <v>167</v>
      </c>
    </row>
    <row r="435">
      <c r="F435" t="s">
        <v>167</v>
      </c>
    </row>
    <row r="436">
      <c r="F436" t="s">
        <v>167</v>
      </c>
    </row>
    <row r="437">
      <c r="F437" t="s">
        <v>167</v>
      </c>
    </row>
    <row r="438">
      <c r="F438" t="s">
        <v>167</v>
      </c>
    </row>
    <row r="439">
      <c r="F439" t="s">
        <v>167</v>
      </c>
    </row>
    <row r="440">
      <c r="F440" t="s">
        <v>167</v>
      </c>
    </row>
    <row r="441">
      <c r="F441" t="s">
        <v>167</v>
      </c>
    </row>
    <row r="442">
      <c r="F442" t="s">
        <v>167</v>
      </c>
    </row>
    <row r="443">
      <c r="F443" t="s">
        <v>167</v>
      </c>
    </row>
    <row r="444">
      <c r="F444" t="s">
        <v>167</v>
      </c>
    </row>
    <row r="445">
      <c r="F445" t="s">
        <v>167</v>
      </c>
    </row>
    <row r="446">
      <c r="F446" t="s">
        <v>167</v>
      </c>
    </row>
    <row r="447">
      <c r="F447" t="s">
        <v>167</v>
      </c>
    </row>
    <row r="448">
      <c r="F448" t="s">
        <v>167</v>
      </c>
    </row>
    <row r="449">
      <c r="F449" t="s">
        <v>167</v>
      </c>
    </row>
    <row r="450">
      <c r="F450" t="s">
        <v>167</v>
      </c>
    </row>
    <row r="451">
      <c r="F451" t="s">
        <v>167</v>
      </c>
    </row>
    <row r="452">
      <c r="F452" t="s">
        <v>167</v>
      </c>
    </row>
    <row r="453">
      <c r="F453" t="s">
        <v>167</v>
      </c>
    </row>
    <row r="454">
      <c r="F454" t="s">
        <v>167</v>
      </c>
    </row>
    <row r="455">
      <c r="F455" t="s">
        <v>167</v>
      </c>
    </row>
    <row r="456">
      <c r="F456" t="s">
        <v>167</v>
      </c>
    </row>
    <row r="457">
      <c r="F457" t="s">
        <v>167</v>
      </c>
    </row>
    <row r="458">
      <c r="F458" t="s">
        <v>167</v>
      </c>
    </row>
    <row r="459">
      <c r="F459" t="s">
        <v>167</v>
      </c>
    </row>
    <row r="460">
      <c r="F460" t="s">
        <v>167</v>
      </c>
    </row>
    <row r="461">
      <c r="F461" t="s">
        <v>167</v>
      </c>
    </row>
    <row r="462">
      <c r="F462" t="s">
        <v>167</v>
      </c>
    </row>
    <row r="463">
      <c r="F463" t="s">
        <v>167</v>
      </c>
    </row>
    <row r="464">
      <c r="F464" t="s">
        <v>167</v>
      </c>
    </row>
    <row r="465">
      <c r="F465" t="s">
        <v>167</v>
      </c>
    </row>
    <row r="466">
      <c r="F466" t="s">
        <v>167</v>
      </c>
    </row>
    <row r="467">
      <c r="F467" t="s">
        <v>167</v>
      </c>
    </row>
    <row r="468">
      <c r="F468" t="s">
        <v>167</v>
      </c>
    </row>
    <row r="469">
      <c r="F469" t="s">
        <v>167</v>
      </c>
    </row>
    <row r="470">
      <c r="F470" t="s">
        <v>167</v>
      </c>
    </row>
    <row r="471">
      <c r="F471" t="s">
        <v>167</v>
      </c>
    </row>
    <row r="472">
      <c r="F472" t="s">
        <v>167</v>
      </c>
    </row>
    <row r="473">
      <c r="F473" t="s">
        <v>167</v>
      </c>
    </row>
    <row r="474">
      <c r="F474" t="s">
        <v>167</v>
      </c>
    </row>
    <row r="475">
      <c r="F475" t="s">
        <v>167</v>
      </c>
    </row>
    <row r="476">
      <c r="F476" t="s">
        <v>167</v>
      </c>
    </row>
    <row r="477">
      <c r="F477" t="s">
        <v>167</v>
      </c>
    </row>
    <row r="478">
      <c r="F478" t="s">
        <v>167</v>
      </c>
    </row>
    <row r="479">
      <c r="F479" t="s">
        <v>167</v>
      </c>
    </row>
    <row r="480">
      <c r="F480" t="s">
        <v>167</v>
      </c>
    </row>
    <row r="481">
      <c r="F481" t="s">
        <v>167</v>
      </c>
    </row>
    <row r="482">
      <c r="F482" t="s">
        <v>167</v>
      </c>
    </row>
    <row r="483">
      <c r="F483" t="s">
        <v>167</v>
      </c>
    </row>
    <row r="484">
      <c r="F484" t="s">
        <v>167</v>
      </c>
    </row>
    <row r="485">
      <c r="F485" t="s">
        <v>167</v>
      </c>
    </row>
    <row r="486">
      <c r="F486" t="s">
        <v>167</v>
      </c>
    </row>
    <row r="487">
      <c r="F487" t="s">
        <v>167</v>
      </c>
    </row>
    <row r="488">
      <c r="F488" t="s">
        <v>167</v>
      </c>
    </row>
    <row r="489">
      <c r="F489" t="s">
        <v>167</v>
      </c>
    </row>
    <row r="490">
      <c r="F490" t="s">
        <v>167</v>
      </c>
    </row>
    <row r="491">
      <c r="F491" t="s">
        <v>167</v>
      </c>
    </row>
    <row r="492">
      <c r="F492" t="s">
        <v>167</v>
      </c>
    </row>
    <row r="493">
      <c r="F493" t="s">
        <v>167</v>
      </c>
    </row>
    <row r="494">
      <c r="F494" t="s">
        <v>167</v>
      </c>
    </row>
    <row r="495">
      <c r="F495" t="s">
        <v>167</v>
      </c>
    </row>
    <row r="496">
      <c r="F496" t="s">
        <v>167</v>
      </c>
    </row>
    <row r="497">
      <c r="F497" t="s">
        <v>167</v>
      </c>
    </row>
    <row r="498">
      <c r="F498" t="s">
        <v>167</v>
      </c>
    </row>
    <row r="499">
      <c r="F499" t="s">
        <v>167</v>
      </c>
    </row>
    <row r="500">
      <c r="F500" t="s">
        <v>167</v>
      </c>
    </row>
    <row r="501">
      <c r="F501" t="s">
        <v>167</v>
      </c>
    </row>
    <row r="502">
      <c r="F502" t="s">
        <v>167</v>
      </c>
    </row>
    <row r="503">
      <c r="F503" t="s">
        <v>167</v>
      </c>
    </row>
    <row r="504">
      <c r="F504" t="s">
        <v>167</v>
      </c>
    </row>
    <row r="505">
      <c r="F505" t="s">
        <v>167</v>
      </c>
    </row>
    <row r="506">
      <c r="F506" t="s">
        <v>167</v>
      </c>
    </row>
    <row r="507">
      <c r="F507" t="s">
        <v>167</v>
      </c>
    </row>
    <row r="508">
      <c r="F508" t="s">
        <v>167</v>
      </c>
    </row>
    <row r="509">
      <c r="F509" t="s">
        <v>167</v>
      </c>
    </row>
    <row r="510">
      <c r="F510" t="s">
        <v>167</v>
      </c>
    </row>
    <row r="511">
      <c r="F511" t="s">
        <v>167</v>
      </c>
    </row>
    <row r="512">
      <c r="F512" t="s">
        <v>167</v>
      </c>
    </row>
    <row r="513">
      <c r="F513" t="s">
        <v>167</v>
      </c>
    </row>
    <row r="514">
      <c r="F514" t="s">
        <v>167</v>
      </c>
    </row>
    <row r="515">
      <c r="F515" t="s">
        <v>167</v>
      </c>
    </row>
    <row r="516">
      <c r="F516" t="s">
        <v>167</v>
      </c>
    </row>
    <row r="517">
      <c r="F517" t="s">
        <v>167</v>
      </c>
    </row>
    <row r="518">
      <c r="F518" t="s">
        <v>167</v>
      </c>
    </row>
    <row r="519">
      <c r="F519" t="s">
        <v>167</v>
      </c>
    </row>
    <row r="520">
      <c r="F520" t="s">
        <v>167</v>
      </c>
    </row>
    <row r="521">
      <c r="F521" t="s">
        <v>167</v>
      </c>
    </row>
    <row r="522">
      <c r="F522" t="s">
        <v>167</v>
      </c>
    </row>
    <row r="523">
      <c r="F523" t="s">
        <v>167</v>
      </c>
    </row>
    <row r="524">
      <c r="F524" t="s">
        <v>167</v>
      </c>
    </row>
    <row r="525">
      <c r="F525" t="s">
        <v>167</v>
      </c>
    </row>
    <row r="526">
      <c r="F526" t="s">
        <v>167</v>
      </c>
    </row>
    <row r="527">
      <c r="F527" t="s">
        <v>167</v>
      </c>
    </row>
    <row r="528">
      <c r="F528" t="s">
        <v>167</v>
      </c>
    </row>
    <row r="529">
      <c r="F529" t="s">
        <v>167</v>
      </c>
    </row>
    <row r="530">
      <c r="F530" t="s">
        <v>167</v>
      </c>
    </row>
    <row r="531">
      <c r="F531" t="s">
        <v>167</v>
      </c>
    </row>
    <row r="532">
      <c r="F532" t="s">
        <v>167</v>
      </c>
    </row>
    <row r="533">
      <c r="F533" t="s">
        <v>167</v>
      </c>
    </row>
    <row r="534">
      <c r="F534" t="s">
        <v>167</v>
      </c>
    </row>
    <row r="535">
      <c r="F535" t="s">
        <v>167</v>
      </c>
    </row>
    <row r="536">
      <c r="F536" t="s">
        <v>167</v>
      </c>
    </row>
    <row r="537">
      <c r="F537" t="s">
        <v>167</v>
      </c>
    </row>
    <row r="538">
      <c r="F538" t="s">
        <v>167</v>
      </c>
    </row>
    <row r="539">
      <c r="F539" t="s">
        <v>167</v>
      </c>
    </row>
    <row r="540">
      <c r="F540" t="s">
        <v>167</v>
      </c>
    </row>
    <row r="541">
      <c r="F541" t="s">
        <v>167</v>
      </c>
    </row>
    <row r="542">
      <c r="F542" t="s">
        <v>167</v>
      </c>
    </row>
    <row r="543">
      <c r="F543" t="s">
        <v>167</v>
      </c>
    </row>
    <row r="544">
      <c r="F544" t="s">
        <v>167</v>
      </c>
    </row>
    <row r="545">
      <c r="F545" t="s">
        <v>167</v>
      </c>
    </row>
    <row r="546">
      <c r="F546" t="s">
        <v>167</v>
      </c>
    </row>
    <row r="547">
      <c r="F547" t="s">
        <v>167</v>
      </c>
    </row>
    <row r="548">
      <c r="F548" t="s">
        <v>167</v>
      </c>
    </row>
    <row r="549">
      <c r="F549" t="s">
        <v>167</v>
      </c>
    </row>
    <row r="550">
      <c r="F550" t="s">
        <v>167</v>
      </c>
    </row>
    <row r="551">
      <c r="F551" t="s">
        <v>167</v>
      </c>
    </row>
    <row r="552">
      <c r="F552" t="s">
        <v>167</v>
      </c>
    </row>
    <row r="553">
      <c r="F553" t="s">
        <v>167</v>
      </c>
    </row>
    <row r="554">
      <c r="F554" t="s">
        <v>167</v>
      </c>
    </row>
    <row r="555">
      <c r="F555" t="s">
        <v>167</v>
      </c>
    </row>
    <row r="556">
      <c r="F556" t="s">
        <v>167</v>
      </c>
    </row>
    <row r="557">
      <c r="F557" t="s">
        <v>167</v>
      </c>
    </row>
    <row r="558">
      <c r="F558" t="s">
        <v>167</v>
      </c>
    </row>
    <row r="559">
      <c r="F559" t="s">
        <v>167</v>
      </c>
    </row>
    <row r="560">
      <c r="F560" t="s">
        <v>167</v>
      </c>
    </row>
    <row r="561">
      <c r="F561" t="s">
        <v>167</v>
      </c>
    </row>
    <row r="562">
      <c r="F562" t="s">
        <v>167</v>
      </c>
    </row>
    <row r="563">
      <c r="F563" t="s">
        <v>167</v>
      </c>
    </row>
    <row r="564">
      <c r="F564" t="s">
        <v>167</v>
      </c>
    </row>
    <row r="565">
      <c r="F565" t="s">
        <v>167</v>
      </c>
    </row>
    <row r="566">
      <c r="F566" t="s">
        <v>167</v>
      </c>
    </row>
    <row r="567">
      <c r="F567" t="s">
        <v>167</v>
      </c>
    </row>
    <row r="568">
      <c r="F568" t="s">
        <v>167</v>
      </c>
    </row>
    <row r="569">
      <c r="F569" t="s">
        <v>167</v>
      </c>
    </row>
    <row r="570">
      <c r="F570" t="s">
        <v>167</v>
      </c>
    </row>
    <row r="571">
      <c r="F571" t="s">
        <v>167</v>
      </c>
    </row>
    <row r="572">
      <c r="F572" t="s">
        <v>167</v>
      </c>
    </row>
    <row r="573">
      <c r="F573" t="s">
        <v>167</v>
      </c>
    </row>
    <row r="574">
      <c r="F574" t="s">
        <v>167</v>
      </c>
    </row>
    <row r="575">
      <c r="F575" t="s">
        <v>167</v>
      </c>
    </row>
    <row r="576">
      <c r="F576" t="s">
        <v>167</v>
      </c>
    </row>
    <row r="577">
      <c r="F577" t="s">
        <v>167</v>
      </c>
    </row>
    <row r="578">
      <c r="F578" t="s">
        <v>167</v>
      </c>
    </row>
    <row r="579">
      <c r="F579" t="s">
        <v>167</v>
      </c>
    </row>
    <row r="580">
      <c r="F580" t="s">
        <v>167</v>
      </c>
    </row>
    <row r="581">
      <c r="F581" t="s">
        <v>167</v>
      </c>
    </row>
    <row r="582">
      <c r="F582" t="s">
        <v>167</v>
      </c>
    </row>
    <row r="583">
      <c r="F583" t="s">
        <v>167</v>
      </c>
    </row>
    <row r="584">
      <c r="F584" t="s">
        <v>167</v>
      </c>
    </row>
    <row r="585">
      <c r="F585" t="s">
        <v>167</v>
      </c>
    </row>
    <row r="586">
      <c r="F586" t="s">
        <v>167</v>
      </c>
    </row>
    <row r="587">
      <c r="F587" t="s">
        <v>167</v>
      </c>
    </row>
    <row r="588">
      <c r="F588" t="s">
        <v>167</v>
      </c>
    </row>
    <row r="589">
      <c r="F589" t="s">
        <v>167</v>
      </c>
    </row>
    <row r="590">
      <c r="F590" t="s">
        <v>167</v>
      </c>
    </row>
    <row r="591">
      <c r="F591" t="s">
        <v>167</v>
      </c>
    </row>
    <row r="592">
      <c r="F592" t="s">
        <v>167</v>
      </c>
    </row>
    <row r="593">
      <c r="F593" t="s">
        <v>167</v>
      </c>
    </row>
    <row r="594">
      <c r="F594" t="s">
        <v>167</v>
      </c>
    </row>
    <row r="595">
      <c r="F595" t="s">
        <v>167</v>
      </c>
    </row>
    <row r="596">
      <c r="F596" t="s">
        <v>167</v>
      </c>
    </row>
    <row r="597">
      <c r="F597" t="s">
        <v>167</v>
      </c>
    </row>
    <row r="598">
      <c r="F598" t="s">
        <v>167</v>
      </c>
    </row>
    <row r="599">
      <c r="F599" t="s">
        <v>167</v>
      </c>
    </row>
    <row r="600">
      <c r="F600" t="s">
        <v>167</v>
      </c>
    </row>
    <row r="601">
      <c r="F601" t="s">
        <v>167</v>
      </c>
    </row>
    <row r="602">
      <c r="F602" t="s">
        <v>167</v>
      </c>
    </row>
    <row r="603">
      <c r="F603" t="s">
        <v>167</v>
      </c>
    </row>
    <row r="604">
      <c r="F604" t="s">
        <v>167</v>
      </c>
    </row>
    <row r="605">
      <c r="F605" t="s">
        <v>167</v>
      </c>
    </row>
    <row r="606">
      <c r="F606" t="s">
        <v>167</v>
      </c>
    </row>
    <row r="607">
      <c r="F607" t="s">
        <v>167</v>
      </c>
    </row>
    <row r="608">
      <c r="F608" t="s">
        <v>167</v>
      </c>
    </row>
    <row r="609">
      <c r="F609" t="s">
        <v>167</v>
      </c>
    </row>
    <row r="610">
      <c r="F610" t="s">
        <v>167</v>
      </c>
    </row>
    <row r="611">
      <c r="F611" t="s">
        <v>167</v>
      </c>
    </row>
    <row r="612">
      <c r="F612" t="s">
        <v>167</v>
      </c>
    </row>
    <row r="613">
      <c r="F613" t="s">
        <v>167</v>
      </c>
    </row>
    <row r="614">
      <c r="F614" t="s">
        <v>167</v>
      </c>
    </row>
    <row r="615">
      <c r="F615" t="s">
        <v>167</v>
      </c>
    </row>
    <row r="616">
      <c r="F616" t="s">
        <v>167</v>
      </c>
    </row>
    <row r="617">
      <c r="F617" t="s">
        <v>167</v>
      </c>
    </row>
    <row r="618">
      <c r="F618" t="s">
        <v>167</v>
      </c>
    </row>
    <row r="619">
      <c r="F619" t="s">
        <v>167</v>
      </c>
    </row>
    <row r="620">
      <c r="F620" t="s">
        <v>167</v>
      </c>
    </row>
    <row r="621">
      <c r="F621" t="s">
        <v>167</v>
      </c>
    </row>
    <row r="622">
      <c r="F622" t="s">
        <v>167</v>
      </c>
    </row>
    <row r="623">
      <c r="F623" t="s">
        <v>167</v>
      </c>
    </row>
    <row r="624">
      <c r="F624" t="s">
        <v>167</v>
      </c>
    </row>
    <row r="625">
      <c r="F625" t="s">
        <v>167</v>
      </c>
    </row>
    <row r="626">
      <c r="F626" t="s">
        <v>167</v>
      </c>
    </row>
    <row r="627">
      <c r="F627" t="s">
        <v>167</v>
      </c>
    </row>
    <row r="628">
      <c r="F628" t="s">
        <v>167</v>
      </c>
    </row>
    <row r="629">
      <c r="F629" t="s">
        <v>167</v>
      </c>
    </row>
    <row r="630">
      <c r="F630" t="s">
        <v>167</v>
      </c>
    </row>
    <row r="631">
      <c r="F631" t="s">
        <v>167</v>
      </c>
    </row>
    <row r="632">
      <c r="F632" t="s">
        <v>167</v>
      </c>
    </row>
    <row r="633">
      <c r="F633" t="s">
        <v>167</v>
      </c>
    </row>
    <row r="634">
      <c r="F634" t="s">
        <v>167</v>
      </c>
    </row>
    <row r="635">
      <c r="F635" t="s">
        <v>167</v>
      </c>
    </row>
    <row r="636">
      <c r="F636" t="s">
        <v>167</v>
      </c>
    </row>
    <row r="637">
      <c r="F637" t="s">
        <v>167</v>
      </c>
    </row>
    <row r="638">
      <c r="F638" t="s">
        <v>167</v>
      </c>
    </row>
    <row r="639">
      <c r="F639" t="s">
        <v>167</v>
      </c>
    </row>
    <row r="640">
      <c r="F640" t="s">
        <v>167</v>
      </c>
    </row>
    <row r="641">
      <c r="F641" t="s">
        <v>167</v>
      </c>
    </row>
    <row r="642">
      <c r="F642" t="s">
        <v>167</v>
      </c>
    </row>
    <row r="643">
      <c r="F643" t="s">
        <v>167</v>
      </c>
    </row>
    <row r="644">
      <c r="F644" t="s">
        <v>167</v>
      </c>
    </row>
    <row r="645">
      <c r="F645" t="s">
        <v>167</v>
      </c>
    </row>
    <row r="646">
      <c r="F646" t="s">
        <v>167</v>
      </c>
    </row>
    <row r="647">
      <c r="F647" t="s">
        <v>167</v>
      </c>
    </row>
    <row r="648">
      <c r="F648" t="s">
        <v>167</v>
      </c>
    </row>
    <row r="649">
      <c r="F649" t="s">
        <v>167</v>
      </c>
    </row>
    <row r="650">
      <c r="F650" t="s">
        <v>167</v>
      </c>
    </row>
    <row r="651">
      <c r="F651" t="s">
        <v>167</v>
      </c>
    </row>
    <row r="652">
      <c r="F652" t="s">
        <v>167</v>
      </c>
    </row>
    <row r="653">
      <c r="F653" t="s">
        <v>167</v>
      </c>
    </row>
    <row r="654">
      <c r="F654" t="s">
        <v>167</v>
      </c>
    </row>
    <row r="655">
      <c r="F655" t="s">
        <v>167</v>
      </c>
    </row>
    <row r="656">
      <c r="F656" t="s">
        <v>167</v>
      </c>
    </row>
    <row r="657">
      <c r="F657" t="s">
        <v>167</v>
      </c>
    </row>
    <row r="658">
      <c r="F658" t="s">
        <v>167</v>
      </c>
    </row>
    <row r="659">
      <c r="F659" t="s">
        <v>167</v>
      </c>
    </row>
    <row r="660">
      <c r="F660" t="s">
        <v>167</v>
      </c>
    </row>
    <row r="661">
      <c r="F661" t="s">
        <v>167</v>
      </c>
    </row>
    <row r="662">
      <c r="F662" t="s">
        <v>167</v>
      </c>
    </row>
    <row r="663">
      <c r="F663" t="s">
        <v>167</v>
      </c>
    </row>
    <row r="664">
      <c r="F664" t="s">
        <v>167</v>
      </c>
    </row>
    <row r="665">
      <c r="F665" t="s">
        <v>167</v>
      </c>
    </row>
    <row r="666">
      <c r="F666" t="s">
        <v>167</v>
      </c>
    </row>
    <row r="667">
      <c r="F667" t="s">
        <v>167</v>
      </c>
    </row>
    <row r="668">
      <c r="F668" t="s">
        <v>167</v>
      </c>
    </row>
    <row r="669">
      <c r="F669" t="s">
        <v>167</v>
      </c>
    </row>
    <row r="670">
      <c r="F670" t="s">
        <v>167</v>
      </c>
    </row>
    <row r="671">
      <c r="F671" t="s">
        <v>167</v>
      </c>
    </row>
    <row r="672">
      <c r="F672" t="s">
        <v>167</v>
      </c>
    </row>
    <row r="673">
      <c r="F673" t="s">
        <v>167</v>
      </c>
    </row>
    <row r="674">
      <c r="F674" t="s">
        <v>167</v>
      </c>
    </row>
    <row r="675">
      <c r="F675" t="s">
        <v>167</v>
      </c>
    </row>
    <row r="676">
      <c r="F676" t="s">
        <v>167</v>
      </c>
    </row>
    <row r="677">
      <c r="F677" t="s">
        <v>167</v>
      </c>
    </row>
    <row r="678">
      <c r="F678" t="s">
        <v>167</v>
      </c>
    </row>
    <row r="679">
      <c r="F679" t="s">
        <v>167</v>
      </c>
    </row>
    <row r="680">
      <c r="F680" t="s">
        <v>167</v>
      </c>
    </row>
    <row r="681">
      <c r="F681" t="s">
        <v>167</v>
      </c>
    </row>
    <row r="682">
      <c r="F682" t="s">
        <v>167</v>
      </c>
    </row>
    <row r="683">
      <c r="F683" t="s">
        <v>167</v>
      </c>
    </row>
    <row r="684">
      <c r="F684" t="s">
        <v>167</v>
      </c>
    </row>
    <row r="685">
      <c r="F685" t="s">
        <v>167</v>
      </c>
    </row>
    <row r="686">
      <c r="F686" t="s">
        <v>167</v>
      </c>
    </row>
    <row r="687">
      <c r="F687" t="s">
        <v>167</v>
      </c>
    </row>
    <row r="688">
      <c r="F688" t="s">
        <v>167</v>
      </c>
    </row>
    <row r="689">
      <c r="F689" t="s">
        <v>167</v>
      </c>
    </row>
    <row r="690">
      <c r="F690" t="s">
        <v>167</v>
      </c>
    </row>
    <row r="691">
      <c r="F691" t="s">
        <v>167</v>
      </c>
    </row>
    <row r="692">
      <c r="F692" t="s">
        <v>167</v>
      </c>
    </row>
    <row r="693">
      <c r="F693" t="s">
        <v>167</v>
      </c>
    </row>
    <row r="694">
      <c r="F694" t="s">
        <v>167</v>
      </c>
    </row>
    <row r="695">
      <c r="F695" t="s">
        <v>167</v>
      </c>
    </row>
    <row r="696">
      <c r="F696" t="s">
        <v>167</v>
      </c>
    </row>
    <row r="697">
      <c r="F697" t="s">
        <v>167</v>
      </c>
    </row>
    <row r="698">
      <c r="F698" t="s">
        <v>167</v>
      </c>
    </row>
    <row r="699">
      <c r="F699" t="s">
        <v>167</v>
      </c>
    </row>
    <row r="700">
      <c r="F700" t="s">
        <v>167</v>
      </c>
    </row>
    <row r="701">
      <c r="F701" t="s">
        <v>167</v>
      </c>
    </row>
    <row r="702">
      <c r="F702" t="s">
        <v>167</v>
      </c>
    </row>
    <row r="703">
      <c r="F703" t="s">
        <v>167</v>
      </c>
    </row>
    <row r="704">
      <c r="F704" t="s">
        <v>167</v>
      </c>
    </row>
    <row r="705">
      <c r="F705" t="s">
        <v>167</v>
      </c>
    </row>
    <row r="706">
      <c r="F706" t="s">
        <v>167</v>
      </c>
    </row>
    <row r="707">
      <c r="F707" t="s">
        <v>167</v>
      </c>
    </row>
    <row r="708">
      <c r="F708" t="s">
        <v>167</v>
      </c>
    </row>
    <row r="709">
      <c r="F709" t="s">
        <v>167</v>
      </c>
    </row>
    <row r="710">
      <c r="F710" t="s">
        <v>167</v>
      </c>
    </row>
    <row r="711">
      <c r="F711" t="s">
        <v>167</v>
      </c>
    </row>
    <row r="712">
      <c r="F712" t="s">
        <v>167</v>
      </c>
    </row>
    <row r="713">
      <c r="F713" t="s">
        <v>167</v>
      </c>
    </row>
    <row r="714">
      <c r="F714" t="s">
        <v>167</v>
      </c>
    </row>
    <row r="715">
      <c r="F715" t="s">
        <v>167</v>
      </c>
    </row>
    <row r="716">
      <c r="F716" t="s">
        <v>167</v>
      </c>
    </row>
    <row r="717">
      <c r="F717" t="s">
        <v>167</v>
      </c>
    </row>
    <row r="718">
      <c r="F718" t="s">
        <v>167</v>
      </c>
    </row>
    <row r="719">
      <c r="F719" t="s">
        <v>167</v>
      </c>
    </row>
    <row r="720">
      <c r="F720" t="s">
        <v>167</v>
      </c>
    </row>
    <row r="721">
      <c r="F721" t="s">
        <v>167</v>
      </c>
    </row>
    <row r="722">
      <c r="F722" t="s">
        <v>167</v>
      </c>
    </row>
    <row r="723">
      <c r="F723" t="s">
        <v>167</v>
      </c>
    </row>
    <row r="724">
      <c r="F724" t="s">
        <v>167</v>
      </c>
    </row>
    <row r="725">
      <c r="F725" t="s">
        <v>167</v>
      </c>
    </row>
    <row r="726">
      <c r="F726" t="s">
        <v>167</v>
      </c>
    </row>
    <row r="727">
      <c r="F727" t="s">
        <v>167</v>
      </c>
    </row>
    <row r="728">
      <c r="F728" t="s">
        <v>167</v>
      </c>
    </row>
    <row r="729">
      <c r="F729" t="s">
        <v>167</v>
      </c>
    </row>
    <row r="730">
      <c r="F730" t="s">
        <v>167</v>
      </c>
    </row>
    <row r="731">
      <c r="F731" t="s">
        <v>167</v>
      </c>
    </row>
    <row r="732">
      <c r="F732" t="s">
        <v>167</v>
      </c>
    </row>
    <row r="733">
      <c r="F733" t="s">
        <v>167</v>
      </c>
    </row>
    <row r="734">
      <c r="F734" t="s">
        <v>167</v>
      </c>
    </row>
    <row r="735">
      <c r="F735" t="s">
        <v>167</v>
      </c>
    </row>
    <row r="736">
      <c r="F736" t="s">
        <v>167</v>
      </c>
    </row>
    <row r="737">
      <c r="F737" t="s">
        <v>167</v>
      </c>
    </row>
    <row r="738">
      <c r="F738" t="s">
        <v>167</v>
      </c>
    </row>
    <row r="739">
      <c r="F739" t="s">
        <v>167</v>
      </c>
    </row>
    <row r="740">
      <c r="F740" t="s">
        <v>167</v>
      </c>
    </row>
    <row r="741">
      <c r="F741" t="s">
        <v>167</v>
      </c>
    </row>
    <row r="742">
      <c r="F742" t="s">
        <v>167</v>
      </c>
    </row>
    <row r="743">
      <c r="F743" t="s">
        <v>167</v>
      </c>
    </row>
    <row r="744">
      <c r="F744" t="s">
        <v>167</v>
      </c>
    </row>
    <row r="745">
      <c r="F745" t="s">
        <v>167</v>
      </c>
    </row>
    <row r="746">
      <c r="F746" t="s">
        <v>167</v>
      </c>
    </row>
    <row r="747">
      <c r="F747" t="s">
        <v>167</v>
      </c>
    </row>
    <row r="748">
      <c r="F748" t="s">
        <v>167</v>
      </c>
    </row>
    <row r="749">
      <c r="F749" t="s">
        <v>167</v>
      </c>
    </row>
    <row r="750">
      <c r="F750" t="s">
        <v>167</v>
      </c>
    </row>
    <row r="751">
      <c r="F751" t="s">
        <v>167</v>
      </c>
    </row>
    <row r="752">
      <c r="F752" t="s">
        <v>167</v>
      </c>
    </row>
    <row r="753">
      <c r="F753" t="s">
        <v>167</v>
      </c>
    </row>
    <row r="754">
      <c r="F754" t="s">
        <v>167</v>
      </c>
    </row>
    <row r="755">
      <c r="F755" t="s">
        <v>167</v>
      </c>
    </row>
    <row r="756">
      <c r="F756" t="s">
        <v>167</v>
      </c>
    </row>
    <row r="757">
      <c r="F757" t="s">
        <v>167</v>
      </c>
    </row>
    <row r="758">
      <c r="F758" t="s">
        <v>167</v>
      </c>
    </row>
    <row r="759">
      <c r="F759" t="s">
        <v>167</v>
      </c>
    </row>
    <row r="760">
      <c r="F760" t="s">
        <v>167</v>
      </c>
    </row>
    <row r="761">
      <c r="F761" t="s">
        <v>167</v>
      </c>
    </row>
    <row r="762">
      <c r="F762" t="s">
        <v>167</v>
      </c>
    </row>
    <row r="763">
      <c r="F763" t="s">
        <v>167</v>
      </c>
    </row>
    <row r="764">
      <c r="F764" t="s">
        <v>167</v>
      </c>
    </row>
    <row r="765">
      <c r="F765" t="s">
        <v>167</v>
      </c>
    </row>
    <row r="766">
      <c r="F766" t="s">
        <v>167</v>
      </c>
    </row>
    <row r="767">
      <c r="F767" t="s">
        <v>167</v>
      </c>
    </row>
    <row r="768">
      <c r="F768" t="s">
        <v>167</v>
      </c>
    </row>
    <row r="769">
      <c r="F769" t="s">
        <v>167</v>
      </c>
    </row>
    <row r="770">
      <c r="F770" t="s">
        <v>167</v>
      </c>
    </row>
    <row r="771">
      <c r="F771" t="s">
        <v>167</v>
      </c>
    </row>
    <row r="772">
      <c r="F772" t="s">
        <v>167</v>
      </c>
    </row>
    <row r="773">
      <c r="F773" t="s">
        <v>167</v>
      </c>
    </row>
    <row r="774">
      <c r="F774" t="s">
        <v>167</v>
      </c>
    </row>
    <row r="775">
      <c r="F775" t="s">
        <v>167</v>
      </c>
    </row>
    <row r="776">
      <c r="F776" t="s">
        <v>167</v>
      </c>
    </row>
    <row r="777">
      <c r="F777" t="s">
        <v>167</v>
      </c>
    </row>
    <row r="778">
      <c r="F778" t="s">
        <v>167</v>
      </c>
    </row>
    <row r="779">
      <c r="F779" t="s">
        <v>167</v>
      </c>
    </row>
    <row r="780">
      <c r="F780" t="s">
        <v>167</v>
      </c>
    </row>
    <row r="781">
      <c r="F781" t="s">
        <v>167</v>
      </c>
    </row>
    <row r="782">
      <c r="F782" t="s">
        <v>167</v>
      </c>
    </row>
    <row r="783">
      <c r="F783" t="s">
        <v>167</v>
      </c>
    </row>
    <row r="784">
      <c r="F784" t="s">
        <v>167</v>
      </c>
    </row>
    <row r="785">
      <c r="F785" t="s">
        <v>167</v>
      </c>
    </row>
    <row r="786">
      <c r="F786" t="s">
        <v>167</v>
      </c>
    </row>
    <row r="787">
      <c r="F787" t="s">
        <v>167</v>
      </c>
    </row>
    <row r="788">
      <c r="F788" t="s">
        <v>167</v>
      </c>
    </row>
    <row r="789">
      <c r="F789" t="s">
        <v>167</v>
      </c>
    </row>
    <row r="790">
      <c r="F790" t="s">
        <v>167</v>
      </c>
    </row>
    <row r="791">
      <c r="F791" t="s">
        <v>167</v>
      </c>
    </row>
    <row r="792">
      <c r="F792" t="s">
        <v>167</v>
      </c>
    </row>
    <row r="793">
      <c r="F793" t="s">
        <v>167</v>
      </c>
    </row>
    <row r="794">
      <c r="F794" t="s">
        <v>167</v>
      </c>
    </row>
    <row r="795">
      <c r="F795" t="s">
        <v>167</v>
      </c>
    </row>
    <row r="796">
      <c r="F796" t="s">
        <v>167</v>
      </c>
    </row>
    <row r="797">
      <c r="F797" t="s">
        <v>167</v>
      </c>
    </row>
    <row r="798">
      <c r="F798" t="s">
        <v>167</v>
      </c>
    </row>
    <row r="799">
      <c r="F799" t="s">
        <v>167</v>
      </c>
    </row>
    <row r="800">
      <c r="F800" t="s">
        <v>167</v>
      </c>
    </row>
    <row r="801">
      <c r="F801" t="s">
        <v>167</v>
      </c>
    </row>
    <row r="802">
      <c r="F802" t="s">
        <v>167</v>
      </c>
    </row>
    <row r="803">
      <c r="F803" t="s">
        <v>167</v>
      </c>
    </row>
    <row r="804">
      <c r="F804" t="s">
        <v>167</v>
      </c>
    </row>
    <row r="805">
      <c r="F805" t="s">
        <v>167</v>
      </c>
    </row>
    <row r="806">
      <c r="F806" t="s">
        <v>167</v>
      </c>
    </row>
    <row r="807">
      <c r="F807" t="s">
        <v>167</v>
      </c>
    </row>
    <row r="808">
      <c r="F808" t="s">
        <v>167</v>
      </c>
    </row>
    <row r="809">
      <c r="F809" t="s">
        <v>167</v>
      </c>
    </row>
    <row r="810">
      <c r="F810" t="s">
        <v>167</v>
      </c>
    </row>
    <row r="811">
      <c r="F811" t="s">
        <v>167</v>
      </c>
    </row>
    <row r="812">
      <c r="F812" t="s">
        <v>167</v>
      </c>
    </row>
    <row r="813">
      <c r="F813" t="s">
        <v>167</v>
      </c>
    </row>
    <row r="814">
      <c r="F814" t="s">
        <v>167</v>
      </c>
    </row>
    <row r="815">
      <c r="F815" t="s">
        <v>167</v>
      </c>
    </row>
    <row r="816">
      <c r="F816" t="s">
        <v>167</v>
      </c>
    </row>
    <row r="817">
      <c r="F817" t="s">
        <v>167</v>
      </c>
    </row>
    <row r="818">
      <c r="F818" t="s">
        <v>167</v>
      </c>
    </row>
    <row r="819">
      <c r="F819" t="s">
        <v>167</v>
      </c>
    </row>
    <row r="820">
      <c r="F820" t="s">
        <v>167</v>
      </c>
    </row>
    <row r="821">
      <c r="F821" t="s">
        <v>167</v>
      </c>
    </row>
    <row r="822">
      <c r="F822" t="s">
        <v>167</v>
      </c>
    </row>
    <row r="823">
      <c r="F823" t="s">
        <v>167</v>
      </c>
    </row>
    <row r="824">
      <c r="F824" t="s">
        <v>167</v>
      </c>
    </row>
    <row r="825">
      <c r="F825" t="s">
        <v>167</v>
      </c>
    </row>
    <row r="826">
      <c r="F826" t="s">
        <v>167</v>
      </c>
    </row>
    <row r="827">
      <c r="F827" t="s">
        <v>167</v>
      </c>
    </row>
    <row r="828">
      <c r="F828" t="s">
        <v>167</v>
      </c>
    </row>
    <row r="829">
      <c r="F829" t="s">
        <v>167</v>
      </c>
    </row>
    <row r="830">
      <c r="F830" t="s">
        <v>167</v>
      </c>
    </row>
    <row r="831">
      <c r="F831" t="s">
        <v>167</v>
      </c>
    </row>
    <row r="832">
      <c r="F832" t="s">
        <v>167</v>
      </c>
    </row>
    <row r="833">
      <c r="F833" t="s">
        <v>167</v>
      </c>
    </row>
    <row r="834">
      <c r="F834" t="s">
        <v>167</v>
      </c>
    </row>
    <row r="835">
      <c r="F835" t="s">
        <v>167</v>
      </c>
    </row>
    <row r="836">
      <c r="F836" t="s">
        <v>167</v>
      </c>
    </row>
    <row r="837">
      <c r="F837" t="s">
        <v>167</v>
      </c>
    </row>
    <row r="838">
      <c r="F838" t="s">
        <v>167</v>
      </c>
    </row>
    <row r="839">
      <c r="F839" t="s">
        <v>167</v>
      </c>
    </row>
    <row r="840">
      <c r="F840" t="s">
        <v>167</v>
      </c>
    </row>
    <row r="841">
      <c r="F841" t="s">
        <v>167</v>
      </c>
    </row>
    <row r="842">
      <c r="F842" t="s">
        <v>167</v>
      </c>
    </row>
    <row r="843">
      <c r="F843" t="s">
        <v>167</v>
      </c>
    </row>
    <row r="844">
      <c r="F844" t="s">
        <v>167</v>
      </c>
    </row>
    <row r="845">
      <c r="F845" t="s">
        <v>167</v>
      </c>
    </row>
    <row r="846">
      <c r="F846" t="s">
        <v>167</v>
      </c>
    </row>
    <row r="847">
      <c r="F847" t="s">
        <v>167</v>
      </c>
    </row>
    <row r="848">
      <c r="F848" t="s">
        <v>167</v>
      </c>
    </row>
    <row r="849">
      <c r="F849" t="s">
        <v>167</v>
      </c>
    </row>
    <row r="850">
      <c r="F850" t="s">
        <v>167</v>
      </c>
    </row>
    <row r="851">
      <c r="F851" t="s">
        <v>167</v>
      </c>
    </row>
    <row r="852">
      <c r="F852" t="s">
        <v>167</v>
      </c>
    </row>
    <row r="853">
      <c r="F853" t="s">
        <v>167</v>
      </c>
    </row>
    <row r="854">
      <c r="F854" t="s">
        <v>167</v>
      </c>
    </row>
    <row r="855">
      <c r="F855" t="s">
        <v>167</v>
      </c>
    </row>
    <row r="856">
      <c r="F856" t="s">
        <v>167</v>
      </c>
    </row>
    <row r="857">
      <c r="F857" t="s">
        <v>167</v>
      </c>
    </row>
    <row r="858">
      <c r="F858" t="s">
        <v>167</v>
      </c>
    </row>
    <row r="859">
      <c r="F859" t="s">
        <v>167</v>
      </c>
    </row>
    <row r="860">
      <c r="F860" t="s">
        <v>167</v>
      </c>
    </row>
    <row r="861">
      <c r="F861" t="s">
        <v>167</v>
      </c>
    </row>
    <row r="862">
      <c r="F862" t="s">
        <v>167</v>
      </c>
    </row>
    <row r="863">
      <c r="F863" t="s">
        <v>167</v>
      </c>
    </row>
    <row r="864">
      <c r="F864" t="s">
        <v>167</v>
      </c>
    </row>
    <row r="865">
      <c r="F865" t="s">
        <v>167</v>
      </c>
    </row>
    <row r="866">
      <c r="F866" t="s">
        <v>167</v>
      </c>
    </row>
    <row r="867">
      <c r="F867" t="s">
        <v>167</v>
      </c>
    </row>
    <row r="868">
      <c r="F868" t="s">
        <v>167</v>
      </c>
    </row>
    <row r="869">
      <c r="F869" t="s">
        <v>167</v>
      </c>
    </row>
    <row r="870">
      <c r="F870" t="s">
        <v>167</v>
      </c>
    </row>
    <row r="871">
      <c r="F871" t="s">
        <v>167</v>
      </c>
    </row>
    <row r="872">
      <c r="F872" t="s">
        <v>167</v>
      </c>
    </row>
    <row r="873">
      <c r="F873" t="s">
        <v>167</v>
      </c>
    </row>
    <row r="874">
      <c r="F874" t="s">
        <v>167</v>
      </c>
    </row>
    <row r="875">
      <c r="F875" t="s">
        <v>167</v>
      </c>
    </row>
    <row r="876">
      <c r="F876" t="s">
        <v>167</v>
      </c>
    </row>
    <row r="877">
      <c r="F877" t="s">
        <v>167</v>
      </c>
    </row>
    <row r="878">
      <c r="F878" t="s">
        <v>167</v>
      </c>
    </row>
    <row r="879">
      <c r="F879" t="s">
        <v>167</v>
      </c>
    </row>
    <row r="880">
      <c r="F880" t="s">
        <v>167</v>
      </c>
    </row>
    <row r="881">
      <c r="F881" t="s">
        <v>167</v>
      </c>
    </row>
    <row r="882">
      <c r="F882" t="s">
        <v>167</v>
      </c>
    </row>
    <row r="883">
      <c r="F883" t="s">
        <v>167</v>
      </c>
    </row>
    <row r="884">
      <c r="F884" t="s">
        <v>167</v>
      </c>
    </row>
    <row r="885">
      <c r="F885" t="s">
        <v>167</v>
      </c>
    </row>
    <row r="886">
      <c r="F886" t="s">
        <v>167</v>
      </c>
    </row>
    <row r="887">
      <c r="F887" t="s">
        <v>167</v>
      </c>
    </row>
    <row r="888">
      <c r="F888" t="s">
        <v>167</v>
      </c>
    </row>
    <row r="889">
      <c r="F889" t="s">
        <v>167</v>
      </c>
    </row>
    <row r="890">
      <c r="F890" t="s">
        <v>167</v>
      </c>
    </row>
    <row r="891">
      <c r="F891" t="s">
        <v>167</v>
      </c>
    </row>
    <row r="892">
      <c r="F892" t="s">
        <v>167</v>
      </c>
    </row>
    <row r="893">
      <c r="F893" t="s">
        <v>167</v>
      </c>
    </row>
    <row r="894">
      <c r="F894" t="s">
        <v>167</v>
      </c>
    </row>
    <row r="895">
      <c r="F895" t="s">
        <v>167</v>
      </c>
    </row>
    <row r="896">
      <c r="F896" t="s">
        <v>167</v>
      </c>
    </row>
    <row r="897">
      <c r="F897" t="s">
        <v>167</v>
      </c>
    </row>
    <row r="898">
      <c r="F898" t="s">
        <v>167</v>
      </c>
    </row>
    <row r="899">
      <c r="F899" t="s">
        <v>167</v>
      </c>
    </row>
    <row r="900">
      <c r="F900" t="s">
        <v>167</v>
      </c>
    </row>
    <row r="901">
      <c r="F901" t="s">
        <v>167</v>
      </c>
    </row>
    <row r="902">
      <c r="F902" t="s">
        <v>167</v>
      </c>
    </row>
    <row r="903">
      <c r="F903" t="s">
        <v>167</v>
      </c>
    </row>
    <row r="904">
      <c r="F904" t="s">
        <v>167</v>
      </c>
    </row>
    <row r="905">
      <c r="F905" t="s">
        <v>167</v>
      </c>
    </row>
    <row r="906">
      <c r="F906" t="s">
        <v>167</v>
      </c>
    </row>
    <row r="907">
      <c r="F907" t="s">
        <v>167</v>
      </c>
    </row>
    <row r="908">
      <c r="F908" t="s">
        <v>167</v>
      </c>
    </row>
    <row r="909">
      <c r="F909" t="s">
        <v>167</v>
      </c>
    </row>
    <row r="910">
      <c r="F910" t="s">
        <v>167</v>
      </c>
    </row>
    <row r="911">
      <c r="F911" t="s">
        <v>167</v>
      </c>
    </row>
    <row r="912">
      <c r="F912" t="s">
        <v>167</v>
      </c>
    </row>
    <row r="913">
      <c r="F913" t="s">
        <v>167</v>
      </c>
    </row>
    <row r="914">
      <c r="F914" t="s">
        <v>167</v>
      </c>
    </row>
    <row r="915">
      <c r="F915" t="s">
        <v>167</v>
      </c>
    </row>
    <row r="916">
      <c r="F916" t="s">
        <v>167</v>
      </c>
    </row>
    <row r="917">
      <c r="F917" t="s">
        <v>167</v>
      </c>
    </row>
    <row r="918">
      <c r="F918" t="s">
        <v>167</v>
      </c>
    </row>
    <row r="919">
      <c r="F919" t="s">
        <v>167</v>
      </c>
    </row>
    <row r="920">
      <c r="F920" t="s">
        <v>167</v>
      </c>
    </row>
    <row r="921">
      <c r="F921" t="s">
        <v>167</v>
      </c>
    </row>
    <row r="922">
      <c r="F922" t="s">
        <v>167</v>
      </c>
    </row>
    <row r="923">
      <c r="F923" t="s">
        <v>167</v>
      </c>
    </row>
    <row r="924">
      <c r="F924" t="s">
        <v>167</v>
      </c>
    </row>
    <row r="925">
      <c r="F925" t="s">
        <v>167</v>
      </c>
    </row>
    <row r="926">
      <c r="F926" t="s">
        <v>167</v>
      </c>
    </row>
    <row r="927">
      <c r="F927" t="s">
        <v>167</v>
      </c>
    </row>
    <row r="928">
      <c r="F928" t="s">
        <v>167</v>
      </c>
    </row>
    <row r="929">
      <c r="F929" t="s">
        <v>167</v>
      </c>
    </row>
    <row r="930">
      <c r="F930" t="s">
        <v>167</v>
      </c>
    </row>
    <row r="931">
      <c r="F931" t="s">
        <v>167</v>
      </c>
    </row>
    <row r="932">
      <c r="F932" t="s">
        <v>167</v>
      </c>
    </row>
    <row r="933">
      <c r="F933" t="s">
        <v>167</v>
      </c>
    </row>
    <row r="934">
      <c r="F934" t="s">
        <v>167</v>
      </c>
    </row>
    <row r="935">
      <c r="F935" t="s">
        <v>167</v>
      </c>
    </row>
    <row r="936">
      <c r="F936" t="s">
        <v>167</v>
      </c>
    </row>
    <row r="937">
      <c r="F937" t="s">
        <v>167</v>
      </c>
    </row>
    <row r="938">
      <c r="F938" t="s">
        <v>167</v>
      </c>
    </row>
    <row r="939">
      <c r="F939" t="s">
        <v>167</v>
      </c>
    </row>
    <row r="940">
      <c r="F940" t="s">
        <v>167</v>
      </c>
    </row>
    <row r="941">
      <c r="F941" t="s">
        <v>167</v>
      </c>
    </row>
    <row r="942">
      <c r="F942" t="s">
        <v>167</v>
      </c>
    </row>
    <row r="943">
      <c r="F943" t="s">
        <v>167</v>
      </c>
    </row>
    <row r="944">
      <c r="F944" t="s">
        <v>167</v>
      </c>
    </row>
    <row r="945">
      <c r="F945" t="s">
        <v>167</v>
      </c>
    </row>
    <row r="946">
      <c r="F946" t="s">
        <v>167</v>
      </c>
    </row>
    <row r="947">
      <c r="F947" t="s">
        <v>167</v>
      </c>
    </row>
    <row r="948">
      <c r="F948" t="s">
        <v>167</v>
      </c>
    </row>
    <row r="949">
      <c r="F949" t="s">
        <v>167</v>
      </c>
    </row>
    <row r="950">
      <c r="F950" t="s">
        <v>167</v>
      </c>
    </row>
    <row r="951">
      <c r="F951" t="s">
        <v>167</v>
      </c>
    </row>
    <row r="952">
      <c r="F952" t="s">
        <v>167</v>
      </c>
    </row>
    <row r="953">
      <c r="F953" t="s">
        <v>167</v>
      </c>
    </row>
    <row r="954">
      <c r="F954" t="s">
        <v>167</v>
      </c>
    </row>
    <row r="955">
      <c r="F955" t="s">
        <v>167</v>
      </c>
    </row>
    <row r="956">
      <c r="F956" t="s">
        <v>167</v>
      </c>
    </row>
    <row r="957">
      <c r="F957" t="s">
        <v>167</v>
      </c>
    </row>
    <row r="958">
      <c r="F958" t="s">
        <v>167</v>
      </c>
    </row>
    <row r="959">
      <c r="F959" t="s">
        <v>167</v>
      </c>
    </row>
    <row r="960">
      <c r="F960" t="s">
        <v>167</v>
      </c>
    </row>
    <row r="961">
      <c r="F961" t="s">
        <v>167</v>
      </c>
    </row>
    <row r="962">
      <c r="F962" t="s">
        <v>167</v>
      </c>
    </row>
    <row r="963">
      <c r="F963" t="s">
        <v>167</v>
      </c>
    </row>
    <row r="964">
      <c r="F964" t="s">
        <v>167</v>
      </c>
    </row>
    <row r="965">
      <c r="F965" t="s">
        <v>167</v>
      </c>
    </row>
    <row r="966">
      <c r="F966" t="s">
        <v>167</v>
      </c>
    </row>
    <row r="967">
      <c r="F967" t="s">
        <v>167</v>
      </c>
    </row>
    <row r="968">
      <c r="F968" t="s">
        <v>167</v>
      </c>
    </row>
    <row r="969">
      <c r="F969" t="s">
        <v>167</v>
      </c>
    </row>
    <row r="970">
      <c r="F970" t="s">
        <v>167</v>
      </c>
    </row>
    <row r="971">
      <c r="F971" t="s">
        <v>167</v>
      </c>
    </row>
    <row r="972">
      <c r="F972" t="s">
        <v>167</v>
      </c>
    </row>
    <row r="973">
      <c r="F973" t="s">
        <v>167</v>
      </c>
    </row>
    <row r="974">
      <c r="F974" t="s">
        <v>167</v>
      </c>
    </row>
    <row r="975">
      <c r="F975" t="s">
        <v>167</v>
      </c>
    </row>
    <row r="976">
      <c r="F976" t="s">
        <v>167</v>
      </c>
    </row>
    <row r="977">
      <c r="F977" t="s">
        <v>167</v>
      </c>
    </row>
    <row r="978">
      <c r="F978" t="s">
        <v>167</v>
      </c>
    </row>
    <row r="979">
      <c r="F979" t="s">
        <v>167</v>
      </c>
    </row>
    <row r="980">
      <c r="F980" t="s">
        <v>167</v>
      </c>
    </row>
    <row r="981">
      <c r="F981" t="s">
        <v>167</v>
      </c>
    </row>
    <row r="982">
      <c r="F982" t="s">
        <v>167</v>
      </c>
    </row>
    <row r="983">
      <c r="F983" t="s">
        <v>167</v>
      </c>
    </row>
    <row r="984">
      <c r="F984" t="s">
        <v>167</v>
      </c>
    </row>
    <row r="985">
      <c r="F985" t="s">
        <v>167</v>
      </c>
    </row>
    <row r="986">
      <c r="F986" t="s">
        <v>167</v>
      </c>
    </row>
    <row r="987">
      <c r="F987" t="s">
        <v>167</v>
      </c>
    </row>
    <row r="988">
      <c r="F988" t="s">
        <v>167</v>
      </c>
    </row>
    <row r="989">
      <c r="F989" t="s">
        <v>167</v>
      </c>
    </row>
    <row r="990">
      <c r="F990" t="s">
        <v>167</v>
      </c>
    </row>
    <row r="991">
      <c r="F991" t="s">
        <v>167</v>
      </c>
    </row>
    <row r="992">
      <c r="F992" t="s">
        <v>167</v>
      </c>
    </row>
    <row r="993">
      <c r="F993" t="s">
        <v>167</v>
      </c>
    </row>
    <row r="994">
      <c r="F994" t="s">
        <v>167</v>
      </c>
    </row>
    <row r="995">
      <c r="F995" t="s">
        <v>167</v>
      </c>
    </row>
    <row r="996">
      <c r="F996" t="s">
        <v>167</v>
      </c>
    </row>
    <row r="997">
      <c r="F997" t="s">
        <v>167</v>
      </c>
    </row>
    <row r="998">
      <c r="F998" t="s">
        <v>167</v>
      </c>
    </row>
    <row r="999">
      <c r="F999" t="s">
        <v>167</v>
      </c>
    </row>
    <row r="1000">
      <c r="F1000" t="s">
        <v>167</v>
      </c>
    </row>
  </sheetData>
  <hyperlinks>
    <hyperlink r:id="rId1" ref="B34"/>
    <hyperlink r:id="rId2" ref="B50"/>
    <hyperlink r:id="rId3" ref="B59"/>
    <hyperlink r:id="rId4" ref="B77"/>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6.13"/>
  </cols>
  <sheetData>
    <row r="1">
      <c r="A1" s="238" t="s">
        <v>168</v>
      </c>
      <c r="B1" s="238">
        <v>2026.0</v>
      </c>
      <c r="C1" s="238"/>
      <c r="D1" s="238"/>
      <c r="E1" s="238"/>
      <c r="F1" s="238"/>
      <c r="G1" s="238"/>
      <c r="H1" s="238"/>
      <c r="I1" s="238"/>
      <c r="J1" s="238"/>
      <c r="K1" s="238"/>
      <c r="L1" s="238"/>
      <c r="M1" s="238"/>
      <c r="N1" s="238"/>
      <c r="O1" s="238"/>
      <c r="P1" s="238"/>
      <c r="Q1" s="239"/>
      <c r="R1" s="239"/>
      <c r="S1" s="239"/>
      <c r="T1" s="239"/>
      <c r="U1" s="239"/>
      <c r="V1" s="239"/>
      <c r="W1" s="239"/>
      <c r="X1" s="239"/>
      <c r="Y1" s="239"/>
      <c r="Z1" s="239"/>
      <c r="AA1" s="239"/>
      <c r="AB1" s="239"/>
      <c r="AC1" s="239"/>
      <c r="AD1" s="239"/>
      <c r="AE1" s="239"/>
      <c r="AF1" s="239"/>
    </row>
    <row r="2">
      <c r="A2" s="240" t="s">
        <v>169</v>
      </c>
      <c r="B2" s="241">
        <f t="shared" ref="B2:Z2" si="1">SUM(B4:B22)</f>
        <v>3074.5</v>
      </c>
      <c r="C2" s="241">
        <f t="shared" si="1"/>
        <v>0</v>
      </c>
      <c r="D2" s="242">
        <f t="shared" si="1"/>
        <v>3074.5</v>
      </c>
      <c r="E2" s="241">
        <f t="shared" si="1"/>
        <v>0</v>
      </c>
      <c r="F2" s="242">
        <f t="shared" si="1"/>
        <v>3074.5</v>
      </c>
      <c r="G2" s="241">
        <f t="shared" si="1"/>
        <v>3104.83</v>
      </c>
      <c r="H2" s="242">
        <f t="shared" si="1"/>
        <v>-30.33</v>
      </c>
      <c r="I2" s="241">
        <f t="shared" si="1"/>
        <v>2882.46</v>
      </c>
      <c r="J2" s="242">
        <f t="shared" si="1"/>
        <v>192.04</v>
      </c>
      <c r="K2" s="241">
        <f t="shared" si="1"/>
        <v>0</v>
      </c>
      <c r="L2" s="242">
        <f t="shared" si="1"/>
        <v>3074.5</v>
      </c>
      <c r="M2" s="241">
        <f t="shared" si="1"/>
        <v>0</v>
      </c>
      <c r="N2" s="242">
        <f t="shared" si="1"/>
        <v>3074.5</v>
      </c>
      <c r="O2" s="241">
        <f t="shared" si="1"/>
        <v>0</v>
      </c>
      <c r="P2" s="242">
        <f t="shared" si="1"/>
        <v>3074.5</v>
      </c>
      <c r="Q2" s="241">
        <f t="shared" si="1"/>
        <v>0</v>
      </c>
      <c r="R2" s="242">
        <f t="shared" si="1"/>
        <v>3074.5</v>
      </c>
      <c r="S2" s="241">
        <f t="shared" si="1"/>
        <v>0</v>
      </c>
      <c r="T2" s="242">
        <f t="shared" si="1"/>
        <v>3074.5</v>
      </c>
      <c r="U2" s="241">
        <f t="shared" si="1"/>
        <v>0</v>
      </c>
      <c r="V2" s="242">
        <f t="shared" si="1"/>
        <v>3074.5</v>
      </c>
      <c r="W2" s="241">
        <f t="shared" si="1"/>
        <v>0</v>
      </c>
      <c r="X2" s="242">
        <f t="shared" si="1"/>
        <v>3074.5</v>
      </c>
      <c r="Y2" s="241">
        <f t="shared" si="1"/>
        <v>0</v>
      </c>
      <c r="Z2" s="242">
        <f t="shared" si="1"/>
        <v>3074.5</v>
      </c>
      <c r="AA2" s="241"/>
      <c r="AB2" s="241"/>
      <c r="AC2" s="241"/>
      <c r="AD2" s="241"/>
      <c r="AE2" s="241"/>
      <c r="AF2" s="241"/>
    </row>
    <row r="3">
      <c r="A3" s="243" t="s">
        <v>170</v>
      </c>
      <c r="B3" s="243" t="s">
        <v>171</v>
      </c>
      <c r="C3" s="244" t="s">
        <v>172</v>
      </c>
      <c r="D3" s="243" t="s">
        <v>173</v>
      </c>
      <c r="E3" s="244" t="s">
        <v>174</v>
      </c>
      <c r="F3" s="244" t="s">
        <v>175</v>
      </c>
      <c r="G3" s="244" t="s">
        <v>176</v>
      </c>
      <c r="H3" s="244" t="s">
        <v>177</v>
      </c>
      <c r="I3" s="244" t="s">
        <v>178</v>
      </c>
      <c r="J3" s="244" t="s">
        <v>179</v>
      </c>
      <c r="K3" s="244" t="s">
        <v>180</v>
      </c>
      <c r="L3" s="244" t="s">
        <v>181</v>
      </c>
      <c r="M3" s="244" t="s">
        <v>182</v>
      </c>
      <c r="N3" s="244" t="s">
        <v>183</v>
      </c>
      <c r="O3" s="244" t="s">
        <v>184</v>
      </c>
      <c r="P3" s="244" t="s">
        <v>185</v>
      </c>
      <c r="Q3" s="244" t="s">
        <v>186</v>
      </c>
      <c r="R3" s="244" t="s">
        <v>187</v>
      </c>
      <c r="S3" s="244" t="s">
        <v>188</v>
      </c>
      <c r="T3" s="244" t="s">
        <v>189</v>
      </c>
      <c r="U3" s="244" t="s">
        <v>190</v>
      </c>
      <c r="V3" s="244" t="s">
        <v>191</v>
      </c>
      <c r="W3" s="244" t="s">
        <v>192</v>
      </c>
      <c r="X3" s="244" t="s">
        <v>193</v>
      </c>
      <c r="Y3" s="244" t="s">
        <v>194</v>
      </c>
      <c r="Z3" s="244" t="s">
        <v>195</v>
      </c>
      <c r="AA3" s="243"/>
      <c r="AB3" s="243"/>
      <c r="AC3" s="243"/>
      <c r="AD3" s="243"/>
      <c r="AE3" s="243"/>
      <c r="AF3" s="243"/>
    </row>
    <row r="4">
      <c r="A4" s="245" t="str">
        <f>IFERROR(__xludf.DUMMYFUNCTION("SORT(UNIQUE(FILTER('Living Expenses'!J2:J1001,'Living Expenses'!J2:J1001&lt;&gt;"""")))"),"AI Fees")</f>
        <v>AI Fees</v>
      </c>
      <c r="B4" s="246">
        <f>IFERROR(VLOOKUP(A4,'Living Expenses'!J:K,2,FALSE),0)</f>
        <v>10</v>
      </c>
      <c r="C4" s="247">
        <f t="array" ref="C4:C1001">IF(A4:A1001="",,
IFERROR(ABS(SUMIFS(
  'All Transactions'!C:C,
  'All Transactions'!D:D, A4:A1001,
  'All Transactions'!A:A, "&gt;="&amp;DATE($B$1,1,1),
  'All Transactions'!A:A, "&lt;"&amp;DATE($B$1,2,1)
)),0))</f>
        <v>0</v>
      </c>
      <c r="D4" s="247">
        <f t="shared" ref="D4:D22" si="2">B4 - C4</f>
        <v>10</v>
      </c>
      <c r="E4">
        <f t="array" ref="E4:E1001">IF(A4:A1001="",,
IFERROR(ABS(SUMIFS(
  'All Transactions'!C:C,
  'All Transactions'!D:D, A4:A1001,
  'All Transactions'!A:A, "&gt;="&amp;DATE($B$1,2,1),
  'All Transactions'!A:A, "&lt;"&amp;DATE($B$1,3,1)
)),0))</f>
        <v>0</v>
      </c>
      <c r="F4" s="247">
        <f t="shared" ref="F4:F22" si="3">B4 - E4</f>
        <v>10</v>
      </c>
      <c r="G4">
        <f t="array" ref="G4:G1001">MAP(A4:A1001, LAMBDA(cat,
IF(cat="","",
IFERROR(ABS(SUMIFS(
  'All Transactions'!C:C,
  'All Transactions'!D:D, cat,
  'All Transactions'!A:A, "&gt;="&amp;DATE($B$1,3,1),
  'All Transactions'!A:A, "&lt;"&amp;DATE($B$1,4,1)
)),0)
)))</f>
        <v>2.03</v>
      </c>
      <c r="H4" s="247">
        <f t="shared" ref="H4:H22" si="4">B4 - G4</f>
        <v>7.97</v>
      </c>
      <c r="I4">
        <f t="array" ref="I4:I1001">MAP(A4:A1001, LAMBDA(cat,
IF(cat="","",
IFERROR(ABS(SUMIFS(
  'All Transactions'!C:C,
  'All Transactions'!D:D, cat,
  'All Transactions'!A:A, "&gt;="&amp;DATE($B$1,4,1),
  'All Transactions'!A:A, "&lt;"&amp;DATE($B$1,5,1)
)),0)
)))</f>
        <v>0</v>
      </c>
      <c r="J4" s="247">
        <f t="shared" ref="J4:J22" si="5">B4 - I4</f>
        <v>10</v>
      </c>
      <c r="K4">
        <f t="array" ref="K4:K1001">MAP(A4:A1001, LAMBDA(cat,
IF(cat="","",
IFERROR(ABS(SUMIFS(
  'All Transactions'!C:C,
  'All Transactions'!D:D, cat,
  'All Transactions'!A:A, "&gt;="&amp;DATE($B$1,5,1),
  'All Transactions'!A:A, "&lt;"&amp;DATE($B$1,6,1)
)),0)
)))</f>
        <v>0</v>
      </c>
      <c r="L4" s="247">
        <f t="shared" ref="L4:L22" si="6">B4 - K4</f>
        <v>10</v>
      </c>
      <c r="M4">
        <f t="array" ref="M4:M1001">MAP(A4:A1001, LAMBDA(cat,
IF(cat="","",
IFERROR(ABS(SUMIFS(
  'All Transactions'!C:C,
  'All Transactions'!D:D, cat,
  'All Transactions'!A:A, "&gt;="&amp;DATE($B$1,6,1),
  'All Transactions'!A:A, "&lt;"&amp;DATE($B$1,7,1)
)),0)
)))</f>
        <v>0</v>
      </c>
      <c r="N4" s="247">
        <f t="shared" ref="N4:N22" si="7">B4 - M4</f>
        <v>10</v>
      </c>
      <c r="O4">
        <f t="array" ref="O4:O1001">MAP(A4:A1001, LAMBDA(cat,
IF(cat="","",
IFERROR(ABS(SUMIFS(
  'All Transactions'!C:C,
  'All Transactions'!D:D, cat,
  'All Transactions'!A:A, "&gt;="&amp;DATE($B$1,7,1),
  'All Transactions'!A:A, "&lt;"&amp;DATE($B$1,8,1)
)),0)
)))</f>
        <v>0</v>
      </c>
      <c r="P4" s="247">
        <f t="shared" ref="P4:P22" si="8">B4 - O4</f>
        <v>10</v>
      </c>
      <c r="Q4">
        <f t="array" ref="Q4:Q1001">MAP(A4:A1001, LAMBDA(cat,
IF(cat="","",
IFERROR(ABS(SUMIFS(
  'All Transactions'!C:C,
  'All Transactions'!D:D, cat,
  'All Transactions'!A:A, "&gt;="&amp;DATE($B$1,8,1),
  'All Transactions'!A:A, "&lt;"&amp;DATE($B$1,9,1)
)),0)
)))</f>
        <v>0</v>
      </c>
      <c r="R4" s="247">
        <f t="shared" ref="R4:R22" si="9">B4 - Q4</f>
        <v>10</v>
      </c>
      <c r="S4">
        <f t="array" ref="S4:S1001">MAP(A4:A1001, LAMBDA(cat,
IF(cat="","",
IFERROR(ABS(SUMIFS(
  'All Transactions'!C:C,
  'All Transactions'!D:D, cat,
  'All Transactions'!A:A, "&gt;="&amp;DATE($B$1,9,1),
  'All Transactions'!A:A, "&lt;"&amp;DATE($B$1,10,1)
)),0)
)))</f>
        <v>0</v>
      </c>
      <c r="T4" s="247">
        <f t="shared" ref="T4:T22" si="10">B4 - S4</f>
        <v>10</v>
      </c>
      <c r="U4">
        <f t="array" ref="U4:U1001">MAP(A4:A1001, LAMBDA(cat,
IF(cat="","",
IFERROR(ABS(SUMIFS(
  'All Transactions'!C:C,
  'All Transactions'!D:D, cat,
  'All Transactions'!A:A, "&gt;="&amp;DATE($B$1,10,1),
  'All Transactions'!A:A, "&lt;"&amp;DATE($B$1,11,1)
)),0)
)))</f>
        <v>0</v>
      </c>
      <c r="V4" s="247">
        <f t="shared" ref="V4:V22" si="11">B4 - U4</f>
        <v>10</v>
      </c>
      <c r="W4">
        <f t="array" ref="W4:W1001">MAP(A4:A1001, LAMBDA(cat,
IF(cat="","",
IFERROR(ABS(SUMIFS(
  'All Transactions'!C:C,
  'All Transactions'!D:D, cat,
  'All Transactions'!A:A, "&gt;="&amp;DATE($B$1,11,1),
  'All Transactions'!A:A, "&lt;"&amp;DATE($B$1,12,1)
)),0)
)))</f>
        <v>0</v>
      </c>
      <c r="X4" s="247">
        <f t="shared" ref="X4:X22" si="12">B4 - W4</f>
        <v>10</v>
      </c>
      <c r="Y4">
        <f t="array" ref="Y4:Y1001">MAP(A4:A1001, LAMBDA(cat,
IF(cat="","",
IFERROR(ABS(SUMIFS(
  'All Transactions'!C:C,
  'All Transactions'!D:D, cat,
  'All Transactions'!A:A, "&gt;="&amp;DATE($B$1,12,1),
  'All Transactions'!A:A, "&lt;"&amp;DATE($B$1+1,1,1)
)),0)
)))</f>
        <v>0</v>
      </c>
      <c r="Z4" s="247">
        <f t="shared" ref="Z4:Z22" si="13">B4 - Y4</f>
        <v>10</v>
      </c>
    </row>
    <row r="5" ht="15.0" customHeight="1">
      <c r="A5" s="248" t="str">
        <f>IFERROR(__xludf.DUMMYFUNCTION("""COMPUTED_VALUE"""),"Bar/ Alcohol")</f>
        <v>Bar/ Alcohol</v>
      </c>
      <c r="B5" s="246">
        <f>IFERROR(VLOOKUP(A5,'Living Expenses'!J:K,2,FALSE),0)</f>
        <v>100</v>
      </c>
      <c r="C5" s="247">
        <v>0.0</v>
      </c>
      <c r="D5" s="247">
        <f t="shared" si="2"/>
        <v>100</v>
      </c>
      <c r="E5">
        <v>0.0</v>
      </c>
      <c r="F5" s="247">
        <f t="shared" si="3"/>
        <v>100</v>
      </c>
      <c r="G5">
        <v>56.73</v>
      </c>
      <c r="H5" s="247">
        <f t="shared" si="4"/>
        <v>43.27</v>
      </c>
      <c r="I5">
        <v>0.0</v>
      </c>
      <c r="J5" s="247">
        <f t="shared" si="5"/>
        <v>100</v>
      </c>
      <c r="K5">
        <v>0.0</v>
      </c>
      <c r="L5" s="247">
        <f t="shared" si="6"/>
        <v>100</v>
      </c>
      <c r="M5">
        <v>0.0</v>
      </c>
      <c r="N5" s="247">
        <f t="shared" si="7"/>
        <v>100</v>
      </c>
      <c r="O5">
        <v>0.0</v>
      </c>
      <c r="P5" s="247">
        <f t="shared" si="8"/>
        <v>100</v>
      </c>
      <c r="Q5">
        <v>0.0</v>
      </c>
      <c r="R5" s="247">
        <f t="shared" si="9"/>
        <v>100</v>
      </c>
      <c r="S5">
        <v>0.0</v>
      </c>
      <c r="T5" s="247">
        <f t="shared" si="10"/>
        <v>100</v>
      </c>
      <c r="U5">
        <v>0.0</v>
      </c>
      <c r="V5" s="247">
        <f t="shared" si="11"/>
        <v>100</v>
      </c>
      <c r="W5">
        <v>0.0</v>
      </c>
      <c r="X5" s="247">
        <f t="shared" si="12"/>
        <v>100</v>
      </c>
      <c r="Y5">
        <v>0.0</v>
      </c>
      <c r="Z5" s="247">
        <f t="shared" si="13"/>
        <v>100</v>
      </c>
    </row>
    <row r="6">
      <c r="A6" s="248" t="str">
        <f>IFERROR(__xludf.DUMMYFUNCTION("""COMPUTED_VALUE"""),"Business Expenses")</f>
        <v>Business Expenses</v>
      </c>
      <c r="B6" s="246">
        <f>IFERROR(VLOOKUP(A6,'Living Expenses'!J:K,2,FALSE),0)</f>
        <v>84</v>
      </c>
      <c r="C6" s="247">
        <v>0.0</v>
      </c>
      <c r="D6" s="247">
        <f t="shared" si="2"/>
        <v>84</v>
      </c>
      <c r="E6">
        <v>0.0</v>
      </c>
      <c r="F6" s="247">
        <f t="shared" si="3"/>
        <v>84</v>
      </c>
      <c r="G6">
        <v>155.96</v>
      </c>
      <c r="H6" s="247">
        <f t="shared" si="4"/>
        <v>-71.96</v>
      </c>
      <c r="I6">
        <v>509.19</v>
      </c>
      <c r="J6" s="247">
        <f t="shared" si="5"/>
        <v>-425.19</v>
      </c>
      <c r="K6">
        <v>0.0</v>
      </c>
      <c r="L6" s="247">
        <f t="shared" si="6"/>
        <v>84</v>
      </c>
      <c r="M6">
        <v>0.0</v>
      </c>
      <c r="N6" s="247">
        <f t="shared" si="7"/>
        <v>84</v>
      </c>
      <c r="O6">
        <v>0.0</v>
      </c>
      <c r="P6" s="247">
        <f t="shared" si="8"/>
        <v>84</v>
      </c>
      <c r="Q6">
        <v>0.0</v>
      </c>
      <c r="R6" s="247">
        <f t="shared" si="9"/>
        <v>84</v>
      </c>
      <c r="S6">
        <v>0.0</v>
      </c>
      <c r="T6" s="247">
        <f t="shared" si="10"/>
        <v>84</v>
      </c>
      <c r="U6">
        <v>0.0</v>
      </c>
      <c r="V6" s="247">
        <f t="shared" si="11"/>
        <v>84</v>
      </c>
      <c r="W6">
        <v>0.0</v>
      </c>
      <c r="X6" s="247">
        <f t="shared" si="12"/>
        <v>84</v>
      </c>
      <c r="Y6">
        <v>0.0</v>
      </c>
      <c r="Z6" s="247">
        <f t="shared" si="13"/>
        <v>84</v>
      </c>
    </row>
    <row r="7">
      <c r="A7" s="245" t="str">
        <f>IFERROR(__xludf.DUMMYFUNCTION("""COMPUTED_VALUE"""),"Coffee")</f>
        <v>Coffee</v>
      </c>
      <c r="B7" s="246">
        <f>IFERROR(VLOOKUP(A7,'Living Expenses'!J:K,2,FALSE),0)</f>
        <v>84</v>
      </c>
      <c r="C7" s="247">
        <v>0.0</v>
      </c>
      <c r="D7" s="247">
        <f t="shared" si="2"/>
        <v>84</v>
      </c>
      <c r="E7">
        <v>0.0</v>
      </c>
      <c r="F7" s="247">
        <f t="shared" si="3"/>
        <v>84</v>
      </c>
      <c r="G7">
        <v>30.18</v>
      </c>
      <c r="H7" s="247">
        <f t="shared" si="4"/>
        <v>53.82</v>
      </c>
      <c r="I7">
        <v>36.489999999999995</v>
      </c>
      <c r="J7" s="247">
        <f t="shared" si="5"/>
        <v>47.51</v>
      </c>
      <c r="K7">
        <v>0.0</v>
      </c>
      <c r="L7" s="247">
        <f t="shared" si="6"/>
        <v>84</v>
      </c>
      <c r="M7">
        <v>0.0</v>
      </c>
      <c r="N7" s="247">
        <f t="shared" si="7"/>
        <v>84</v>
      </c>
      <c r="O7">
        <v>0.0</v>
      </c>
      <c r="P7" s="247">
        <f t="shared" si="8"/>
        <v>84</v>
      </c>
      <c r="Q7">
        <v>0.0</v>
      </c>
      <c r="R7" s="247">
        <f t="shared" si="9"/>
        <v>84</v>
      </c>
      <c r="S7">
        <v>0.0</v>
      </c>
      <c r="T7" s="247">
        <f t="shared" si="10"/>
        <v>84</v>
      </c>
      <c r="U7">
        <v>0.0</v>
      </c>
      <c r="V7" s="247">
        <f t="shared" si="11"/>
        <v>84</v>
      </c>
      <c r="W7">
        <v>0.0</v>
      </c>
      <c r="X7" s="247">
        <f t="shared" si="12"/>
        <v>84</v>
      </c>
      <c r="Y7">
        <v>0.0</v>
      </c>
      <c r="Z7" s="247">
        <f t="shared" si="13"/>
        <v>84</v>
      </c>
    </row>
    <row r="8">
      <c r="A8" s="231" t="str">
        <f>IFERROR(__xludf.DUMMYFUNCTION("""COMPUTED_VALUE"""),"Dining")</f>
        <v>Dining</v>
      </c>
      <c r="B8" s="246">
        <f>IFERROR(VLOOKUP(A8,'Living Expenses'!J:K,2,FALSE),0)</f>
        <v>320</v>
      </c>
      <c r="C8" s="247">
        <v>0.0</v>
      </c>
      <c r="D8" s="247">
        <f t="shared" si="2"/>
        <v>320</v>
      </c>
      <c r="E8">
        <v>0.0</v>
      </c>
      <c r="F8" s="247">
        <f t="shared" si="3"/>
        <v>320</v>
      </c>
      <c r="G8">
        <v>88.78999999999999</v>
      </c>
      <c r="H8" s="247">
        <f t="shared" si="4"/>
        <v>231.21</v>
      </c>
      <c r="I8">
        <v>87.71000000000001</v>
      </c>
      <c r="J8" s="247">
        <f t="shared" si="5"/>
        <v>232.29</v>
      </c>
      <c r="K8">
        <v>0.0</v>
      </c>
      <c r="L8" s="247">
        <f t="shared" si="6"/>
        <v>320</v>
      </c>
      <c r="M8">
        <v>0.0</v>
      </c>
      <c r="N8" s="247">
        <f t="shared" si="7"/>
        <v>320</v>
      </c>
      <c r="O8">
        <v>0.0</v>
      </c>
      <c r="P8" s="247">
        <f t="shared" si="8"/>
        <v>320</v>
      </c>
      <c r="Q8">
        <v>0.0</v>
      </c>
      <c r="R8" s="247">
        <f t="shared" si="9"/>
        <v>320</v>
      </c>
      <c r="S8">
        <v>0.0</v>
      </c>
      <c r="T8" s="247">
        <f t="shared" si="10"/>
        <v>320</v>
      </c>
      <c r="U8">
        <v>0.0</v>
      </c>
      <c r="V8" s="247">
        <f t="shared" si="11"/>
        <v>320</v>
      </c>
      <c r="W8">
        <v>0.0</v>
      </c>
      <c r="X8" s="247">
        <f t="shared" si="12"/>
        <v>320</v>
      </c>
      <c r="Y8">
        <v>0.0</v>
      </c>
      <c r="Z8" s="247">
        <f t="shared" si="13"/>
        <v>320</v>
      </c>
    </row>
    <row r="9">
      <c r="A9" s="231" t="str">
        <f>IFERROR(__xludf.DUMMYFUNCTION("""COMPUTED_VALUE"""),"Entertainment")</f>
        <v>Entertainment</v>
      </c>
      <c r="B9" s="246">
        <f>IFERROR(VLOOKUP(A9,'Living Expenses'!J:K,2,FALSE),0)</f>
        <v>47.5</v>
      </c>
      <c r="C9" s="247">
        <v>0.0</v>
      </c>
      <c r="D9" s="247">
        <f t="shared" si="2"/>
        <v>47.5</v>
      </c>
      <c r="E9">
        <v>0.0</v>
      </c>
      <c r="F9" s="247">
        <f t="shared" si="3"/>
        <v>47.5</v>
      </c>
      <c r="G9">
        <v>127.99000000000001</v>
      </c>
      <c r="H9" s="247">
        <f t="shared" si="4"/>
        <v>-80.49</v>
      </c>
      <c r="I9">
        <v>34.75</v>
      </c>
      <c r="J9" s="247">
        <f t="shared" si="5"/>
        <v>12.75</v>
      </c>
      <c r="K9">
        <v>0.0</v>
      </c>
      <c r="L9" s="247">
        <f t="shared" si="6"/>
        <v>47.5</v>
      </c>
      <c r="M9">
        <v>0.0</v>
      </c>
      <c r="N9" s="247">
        <f t="shared" si="7"/>
        <v>47.5</v>
      </c>
      <c r="O9">
        <v>0.0</v>
      </c>
      <c r="P9" s="247">
        <f t="shared" si="8"/>
        <v>47.5</v>
      </c>
      <c r="Q9">
        <v>0.0</v>
      </c>
      <c r="R9" s="247">
        <f t="shared" si="9"/>
        <v>47.5</v>
      </c>
      <c r="S9">
        <v>0.0</v>
      </c>
      <c r="T9" s="247">
        <f t="shared" si="10"/>
        <v>47.5</v>
      </c>
      <c r="U9">
        <v>0.0</v>
      </c>
      <c r="V9" s="247">
        <f t="shared" si="11"/>
        <v>47.5</v>
      </c>
      <c r="W9">
        <v>0.0</v>
      </c>
      <c r="X9" s="247">
        <f t="shared" si="12"/>
        <v>47.5</v>
      </c>
      <c r="Y9">
        <v>0.0</v>
      </c>
      <c r="Z9" s="247">
        <f t="shared" si="13"/>
        <v>47.5</v>
      </c>
    </row>
    <row r="10">
      <c r="A10" s="231" t="str">
        <f>IFERROR(__xludf.DUMMYFUNCTION("""COMPUTED_VALUE"""),"Groceries")</f>
        <v>Groceries</v>
      </c>
      <c r="B10" s="246">
        <f>IFERROR(VLOOKUP(A10,'Living Expenses'!J:K,2,FALSE),0)</f>
        <v>500</v>
      </c>
      <c r="C10" s="247">
        <v>0.0</v>
      </c>
      <c r="D10" s="247">
        <f t="shared" si="2"/>
        <v>500</v>
      </c>
      <c r="E10">
        <v>0.0</v>
      </c>
      <c r="F10" s="247">
        <f t="shared" si="3"/>
        <v>500</v>
      </c>
      <c r="G10">
        <v>220.72</v>
      </c>
      <c r="H10" s="247">
        <f t="shared" si="4"/>
        <v>279.28</v>
      </c>
      <c r="I10">
        <v>372.32000000000005</v>
      </c>
      <c r="J10" s="247">
        <f t="shared" si="5"/>
        <v>127.68</v>
      </c>
      <c r="K10">
        <v>0.0</v>
      </c>
      <c r="L10" s="247">
        <f t="shared" si="6"/>
        <v>500</v>
      </c>
      <c r="M10">
        <v>0.0</v>
      </c>
      <c r="N10" s="247">
        <f t="shared" si="7"/>
        <v>500</v>
      </c>
      <c r="O10">
        <v>0.0</v>
      </c>
      <c r="P10" s="247">
        <f t="shared" si="8"/>
        <v>500</v>
      </c>
      <c r="Q10">
        <v>0.0</v>
      </c>
      <c r="R10" s="247">
        <f t="shared" si="9"/>
        <v>500</v>
      </c>
      <c r="S10">
        <v>0.0</v>
      </c>
      <c r="T10" s="247">
        <f t="shared" si="10"/>
        <v>500</v>
      </c>
      <c r="U10">
        <v>0.0</v>
      </c>
      <c r="V10" s="247">
        <f t="shared" si="11"/>
        <v>500</v>
      </c>
      <c r="W10">
        <v>0.0</v>
      </c>
      <c r="X10" s="247">
        <f t="shared" si="12"/>
        <v>500</v>
      </c>
      <c r="Y10">
        <v>0.0</v>
      </c>
      <c r="Z10" s="247">
        <f t="shared" si="13"/>
        <v>500</v>
      </c>
    </row>
    <row r="11">
      <c r="A11" s="231" t="str">
        <f>IFERROR(__xludf.DUMMYFUNCTION("""COMPUTED_VALUE"""),"Insurance")</f>
        <v>Insurance</v>
      </c>
      <c r="B11" s="246">
        <f>IFERROR(VLOOKUP(A11,'Living Expenses'!J:K,2,FALSE),0)</f>
        <v>23</v>
      </c>
      <c r="C11" s="247">
        <v>0.0</v>
      </c>
      <c r="D11" s="247">
        <f t="shared" si="2"/>
        <v>23</v>
      </c>
      <c r="E11">
        <v>0.0</v>
      </c>
      <c r="F11" s="247">
        <f t="shared" si="3"/>
        <v>23</v>
      </c>
      <c r="G11">
        <v>366.0</v>
      </c>
      <c r="H11" s="247">
        <f t="shared" si="4"/>
        <v>-343</v>
      </c>
      <c r="I11">
        <v>0.0</v>
      </c>
      <c r="J11" s="247">
        <f t="shared" si="5"/>
        <v>23</v>
      </c>
      <c r="K11">
        <v>0.0</v>
      </c>
      <c r="L11" s="247">
        <f t="shared" si="6"/>
        <v>23</v>
      </c>
      <c r="M11">
        <v>0.0</v>
      </c>
      <c r="N11" s="247">
        <f t="shared" si="7"/>
        <v>23</v>
      </c>
      <c r="O11">
        <v>0.0</v>
      </c>
      <c r="P11" s="247">
        <f t="shared" si="8"/>
        <v>23</v>
      </c>
      <c r="Q11">
        <v>0.0</v>
      </c>
      <c r="R11" s="247">
        <f t="shared" si="9"/>
        <v>23</v>
      </c>
      <c r="S11">
        <v>0.0</v>
      </c>
      <c r="T11" s="247">
        <f t="shared" si="10"/>
        <v>23</v>
      </c>
      <c r="U11">
        <v>0.0</v>
      </c>
      <c r="V11" s="247">
        <f t="shared" si="11"/>
        <v>23</v>
      </c>
      <c r="W11">
        <v>0.0</v>
      </c>
      <c r="X11" s="247">
        <f t="shared" si="12"/>
        <v>23</v>
      </c>
      <c r="Y11">
        <v>0.0</v>
      </c>
      <c r="Z11" s="247">
        <f t="shared" si="13"/>
        <v>23</v>
      </c>
    </row>
    <row r="12">
      <c r="A12" s="231" t="str">
        <f>IFERROR(__xludf.DUMMYFUNCTION("""COMPUTED_VALUE"""),"Misc")</f>
        <v>Misc</v>
      </c>
      <c r="B12" s="246">
        <f>IFERROR(VLOOKUP(A12,'Living Expenses'!J:K,2,FALSE),0)</f>
        <v>30</v>
      </c>
      <c r="C12" s="247">
        <v>0.0</v>
      </c>
      <c r="D12" s="247">
        <f t="shared" si="2"/>
        <v>30</v>
      </c>
      <c r="E12">
        <v>0.0</v>
      </c>
      <c r="F12" s="247">
        <f t="shared" si="3"/>
        <v>30</v>
      </c>
      <c r="G12">
        <v>34.510000000000005</v>
      </c>
      <c r="H12" s="247">
        <f t="shared" si="4"/>
        <v>-4.51</v>
      </c>
      <c r="I12">
        <v>0.0</v>
      </c>
      <c r="J12" s="247">
        <f t="shared" si="5"/>
        <v>30</v>
      </c>
      <c r="K12">
        <v>0.0</v>
      </c>
      <c r="L12" s="247">
        <f t="shared" si="6"/>
        <v>30</v>
      </c>
      <c r="M12">
        <v>0.0</v>
      </c>
      <c r="N12" s="247">
        <f t="shared" si="7"/>
        <v>30</v>
      </c>
      <c r="O12">
        <v>0.0</v>
      </c>
      <c r="P12" s="247">
        <f t="shared" si="8"/>
        <v>30</v>
      </c>
      <c r="Q12">
        <v>0.0</v>
      </c>
      <c r="R12" s="247">
        <f t="shared" si="9"/>
        <v>30</v>
      </c>
      <c r="S12">
        <v>0.0</v>
      </c>
      <c r="T12" s="247">
        <f t="shared" si="10"/>
        <v>30</v>
      </c>
      <c r="U12">
        <v>0.0</v>
      </c>
      <c r="V12" s="247">
        <f t="shared" si="11"/>
        <v>30</v>
      </c>
      <c r="W12">
        <v>0.0</v>
      </c>
      <c r="X12" s="247">
        <f t="shared" si="12"/>
        <v>30</v>
      </c>
      <c r="Y12">
        <v>0.0</v>
      </c>
      <c r="Z12" s="247">
        <f t="shared" si="13"/>
        <v>30</v>
      </c>
    </row>
    <row r="13">
      <c r="A13" s="231" t="str">
        <f>IFERROR(__xludf.DUMMYFUNCTION("""COMPUTED_VALUE"""),"Other Services")</f>
        <v>Other Services</v>
      </c>
      <c r="B13" s="246">
        <f>IFERROR(VLOOKUP(A13,'Living Expenses'!J:K,2,FALSE),0)</f>
        <v>18</v>
      </c>
      <c r="C13" s="247">
        <v>0.0</v>
      </c>
      <c r="D13" s="247">
        <f t="shared" si="2"/>
        <v>18</v>
      </c>
      <c r="E13">
        <v>0.0</v>
      </c>
      <c r="F13" s="247">
        <f t="shared" si="3"/>
        <v>18</v>
      </c>
      <c r="G13">
        <v>1.25</v>
      </c>
      <c r="H13" s="247">
        <f t="shared" si="4"/>
        <v>16.75</v>
      </c>
      <c r="I13">
        <v>6.37</v>
      </c>
      <c r="J13" s="247">
        <f t="shared" si="5"/>
        <v>11.63</v>
      </c>
      <c r="K13">
        <v>0.0</v>
      </c>
      <c r="L13" s="247">
        <f t="shared" si="6"/>
        <v>18</v>
      </c>
      <c r="M13">
        <v>0.0</v>
      </c>
      <c r="N13" s="247">
        <f t="shared" si="7"/>
        <v>18</v>
      </c>
      <c r="O13">
        <v>0.0</v>
      </c>
      <c r="P13" s="247">
        <f t="shared" si="8"/>
        <v>18</v>
      </c>
      <c r="Q13">
        <v>0.0</v>
      </c>
      <c r="R13" s="247">
        <f t="shared" si="9"/>
        <v>18</v>
      </c>
      <c r="S13">
        <v>0.0</v>
      </c>
      <c r="T13" s="247">
        <f t="shared" si="10"/>
        <v>18</v>
      </c>
      <c r="U13">
        <v>0.0</v>
      </c>
      <c r="V13" s="247">
        <f t="shared" si="11"/>
        <v>18</v>
      </c>
      <c r="W13">
        <v>0.0</v>
      </c>
      <c r="X13" s="247">
        <f t="shared" si="12"/>
        <v>18</v>
      </c>
      <c r="Y13">
        <v>0.0</v>
      </c>
      <c r="Z13" s="247">
        <f t="shared" si="13"/>
        <v>18</v>
      </c>
    </row>
    <row r="14">
      <c r="A14" s="249" t="str">
        <f>IFERROR(__xludf.DUMMYFUNCTION("""COMPUTED_VALUE"""),"Rent")</f>
        <v>Rent</v>
      </c>
      <c r="B14" s="246">
        <f>IFERROR(VLOOKUP(A14,'Living Expenses'!J:K,2,FALSE),0)</f>
        <v>1327</v>
      </c>
      <c r="C14" s="247">
        <v>0.0</v>
      </c>
      <c r="D14" s="247">
        <f t="shared" si="2"/>
        <v>1327</v>
      </c>
      <c r="E14">
        <v>0.0</v>
      </c>
      <c r="F14" s="247">
        <f t="shared" si="3"/>
        <v>1327</v>
      </c>
      <c r="G14">
        <v>1327.0</v>
      </c>
      <c r="H14" s="247">
        <f t="shared" si="4"/>
        <v>0</v>
      </c>
      <c r="I14">
        <v>1327.0</v>
      </c>
      <c r="J14" s="247">
        <f t="shared" si="5"/>
        <v>0</v>
      </c>
      <c r="K14">
        <v>0.0</v>
      </c>
      <c r="L14" s="247">
        <f t="shared" si="6"/>
        <v>1327</v>
      </c>
      <c r="M14">
        <v>0.0</v>
      </c>
      <c r="N14" s="247">
        <f t="shared" si="7"/>
        <v>1327</v>
      </c>
      <c r="O14">
        <v>0.0</v>
      </c>
      <c r="P14" s="247">
        <f t="shared" si="8"/>
        <v>1327</v>
      </c>
      <c r="Q14">
        <v>0.0</v>
      </c>
      <c r="R14" s="247">
        <f t="shared" si="9"/>
        <v>1327</v>
      </c>
      <c r="S14">
        <v>0.0</v>
      </c>
      <c r="T14" s="247">
        <f t="shared" si="10"/>
        <v>1327</v>
      </c>
      <c r="U14">
        <v>0.0</v>
      </c>
      <c r="V14" s="247">
        <f t="shared" si="11"/>
        <v>1327</v>
      </c>
      <c r="W14">
        <v>0.0</v>
      </c>
      <c r="X14" s="247">
        <f t="shared" si="12"/>
        <v>1327</v>
      </c>
      <c r="Y14">
        <v>0.0</v>
      </c>
      <c r="Z14" s="247">
        <f t="shared" si="13"/>
        <v>1327</v>
      </c>
    </row>
    <row r="15">
      <c r="A15" s="249" t="str">
        <f>IFERROR(__xludf.DUMMYFUNCTION("""COMPUTED_VALUE"""),"Shopping")</f>
        <v>Shopping</v>
      </c>
      <c r="B15" s="246">
        <f>IFERROR(VLOOKUP(A15,'Living Expenses'!J:K,2,FALSE),0)</f>
        <v>97</v>
      </c>
      <c r="C15" s="247">
        <v>0.0</v>
      </c>
      <c r="D15" s="247">
        <f t="shared" si="2"/>
        <v>97</v>
      </c>
      <c r="E15">
        <v>0.0</v>
      </c>
      <c r="F15" s="247">
        <f t="shared" si="3"/>
        <v>97</v>
      </c>
      <c r="G15">
        <v>439.26</v>
      </c>
      <c r="H15" s="247">
        <f t="shared" si="4"/>
        <v>-342.26</v>
      </c>
      <c r="I15">
        <v>333.56</v>
      </c>
      <c r="J15" s="247">
        <f t="shared" si="5"/>
        <v>-236.56</v>
      </c>
      <c r="K15">
        <v>0.0</v>
      </c>
      <c r="L15" s="247">
        <f t="shared" si="6"/>
        <v>97</v>
      </c>
      <c r="M15">
        <v>0.0</v>
      </c>
      <c r="N15" s="247">
        <f t="shared" si="7"/>
        <v>97</v>
      </c>
      <c r="O15">
        <v>0.0</v>
      </c>
      <c r="P15" s="247">
        <f t="shared" si="8"/>
        <v>97</v>
      </c>
      <c r="Q15">
        <v>0.0</v>
      </c>
      <c r="R15" s="247">
        <f t="shared" si="9"/>
        <v>97</v>
      </c>
      <c r="S15">
        <v>0.0</v>
      </c>
      <c r="T15" s="247">
        <f t="shared" si="10"/>
        <v>97</v>
      </c>
      <c r="U15">
        <v>0.0</v>
      </c>
      <c r="V15" s="247">
        <f t="shared" si="11"/>
        <v>97</v>
      </c>
      <c r="W15">
        <v>0.0</v>
      </c>
      <c r="X15" s="247">
        <f t="shared" si="12"/>
        <v>97</v>
      </c>
      <c r="Y15">
        <v>0.0</v>
      </c>
      <c r="Z15" s="247">
        <f t="shared" si="13"/>
        <v>97</v>
      </c>
    </row>
    <row r="16">
      <c r="A16" s="249" t="str">
        <f>IFERROR(__xludf.DUMMYFUNCTION("""COMPUTED_VALUE"""),"Subscriptions")</f>
        <v>Subscriptions</v>
      </c>
      <c r="B16" s="246">
        <f>IFERROR(VLOOKUP(A16,'Living Expenses'!J:K,2,FALSE),0)</f>
        <v>132</v>
      </c>
      <c r="C16" s="247">
        <v>0.0</v>
      </c>
      <c r="D16" s="247">
        <f t="shared" si="2"/>
        <v>132</v>
      </c>
      <c r="E16">
        <v>0.0</v>
      </c>
      <c r="F16" s="247">
        <f t="shared" si="3"/>
        <v>132</v>
      </c>
      <c r="G16">
        <v>39.99</v>
      </c>
      <c r="H16" s="247">
        <f t="shared" si="4"/>
        <v>92.01</v>
      </c>
      <c r="I16">
        <v>81.84</v>
      </c>
      <c r="J16" s="247">
        <f t="shared" si="5"/>
        <v>50.16</v>
      </c>
      <c r="K16">
        <v>0.0</v>
      </c>
      <c r="L16" s="247">
        <f t="shared" si="6"/>
        <v>132</v>
      </c>
      <c r="M16">
        <v>0.0</v>
      </c>
      <c r="N16" s="247">
        <f t="shared" si="7"/>
        <v>132</v>
      </c>
      <c r="O16">
        <v>0.0</v>
      </c>
      <c r="P16" s="247">
        <f t="shared" si="8"/>
        <v>132</v>
      </c>
      <c r="Q16">
        <v>0.0</v>
      </c>
      <c r="R16" s="247">
        <f t="shared" si="9"/>
        <v>132</v>
      </c>
      <c r="S16">
        <v>0.0</v>
      </c>
      <c r="T16" s="247">
        <f t="shared" si="10"/>
        <v>132</v>
      </c>
      <c r="U16">
        <v>0.0</v>
      </c>
      <c r="V16" s="247">
        <f t="shared" si="11"/>
        <v>132</v>
      </c>
      <c r="W16">
        <v>0.0</v>
      </c>
      <c r="X16" s="247">
        <f t="shared" si="12"/>
        <v>132</v>
      </c>
      <c r="Y16">
        <v>0.0</v>
      </c>
      <c r="Z16" s="247">
        <f t="shared" si="13"/>
        <v>132</v>
      </c>
    </row>
    <row r="17">
      <c r="A17" s="249" t="str">
        <f>IFERROR(__xludf.DUMMYFUNCTION("""COMPUTED_VALUE"""),"Transportation")</f>
        <v>Transportation</v>
      </c>
      <c r="B17" s="246">
        <f>IFERROR(VLOOKUP(A17,'Living Expenses'!J:K,2,FALSE),0)</f>
        <v>25</v>
      </c>
      <c r="C17" s="247">
        <v>0.0</v>
      </c>
      <c r="D17" s="247">
        <f t="shared" si="2"/>
        <v>25</v>
      </c>
      <c r="E17">
        <v>0.0</v>
      </c>
      <c r="F17" s="247">
        <f t="shared" si="3"/>
        <v>25</v>
      </c>
      <c r="G17">
        <v>214.42000000000002</v>
      </c>
      <c r="H17" s="247">
        <f t="shared" si="4"/>
        <v>-189.42</v>
      </c>
      <c r="I17">
        <v>93.22999999999998</v>
      </c>
      <c r="J17" s="247">
        <f t="shared" si="5"/>
        <v>-68.23</v>
      </c>
      <c r="K17">
        <v>0.0</v>
      </c>
      <c r="L17" s="247">
        <f t="shared" si="6"/>
        <v>25</v>
      </c>
      <c r="M17">
        <v>0.0</v>
      </c>
      <c r="N17" s="247">
        <f t="shared" si="7"/>
        <v>25</v>
      </c>
      <c r="O17">
        <v>0.0</v>
      </c>
      <c r="P17" s="247">
        <f t="shared" si="8"/>
        <v>25</v>
      </c>
      <c r="Q17">
        <v>0.0</v>
      </c>
      <c r="R17" s="247">
        <f t="shared" si="9"/>
        <v>25</v>
      </c>
      <c r="S17">
        <v>0.0</v>
      </c>
      <c r="T17" s="247">
        <f t="shared" si="10"/>
        <v>25</v>
      </c>
      <c r="U17">
        <v>0.0</v>
      </c>
      <c r="V17" s="247">
        <f t="shared" si="11"/>
        <v>25</v>
      </c>
      <c r="W17">
        <v>0.0</v>
      </c>
      <c r="X17" s="247">
        <f t="shared" si="12"/>
        <v>25</v>
      </c>
      <c r="Y17">
        <v>0.0</v>
      </c>
      <c r="Z17" s="247">
        <f t="shared" si="13"/>
        <v>25</v>
      </c>
    </row>
    <row r="18">
      <c r="A18" s="249" t="str">
        <f>IFERROR(__xludf.DUMMYFUNCTION("""COMPUTED_VALUE"""),"Travel")</f>
        <v>Travel</v>
      </c>
      <c r="B18" s="246">
        <f>IFERROR(VLOOKUP(A18,'Living Expenses'!J:K,2,FALSE),0)</f>
        <v>142</v>
      </c>
      <c r="C18" s="247">
        <v>0.0</v>
      </c>
      <c r="D18" s="247">
        <f t="shared" si="2"/>
        <v>142</v>
      </c>
      <c r="E18">
        <v>0.0</v>
      </c>
      <c r="F18" s="247">
        <f t="shared" si="3"/>
        <v>142</v>
      </c>
      <c r="G18">
        <v>0.0</v>
      </c>
      <c r="H18" s="247">
        <f t="shared" si="4"/>
        <v>142</v>
      </c>
      <c r="I18">
        <v>0.0</v>
      </c>
      <c r="J18" s="247">
        <f t="shared" si="5"/>
        <v>142</v>
      </c>
      <c r="K18">
        <v>0.0</v>
      </c>
      <c r="L18" s="247">
        <f t="shared" si="6"/>
        <v>142</v>
      </c>
      <c r="M18">
        <v>0.0</v>
      </c>
      <c r="N18" s="247">
        <f t="shared" si="7"/>
        <v>142</v>
      </c>
      <c r="O18">
        <v>0.0</v>
      </c>
      <c r="P18" s="247">
        <f t="shared" si="8"/>
        <v>142</v>
      </c>
      <c r="Q18">
        <v>0.0</v>
      </c>
      <c r="R18" s="247">
        <f t="shared" si="9"/>
        <v>142</v>
      </c>
      <c r="S18">
        <v>0.0</v>
      </c>
      <c r="T18" s="247">
        <f t="shared" si="10"/>
        <v>142</v>
      </c>
      <c r="U18">
        <v>0.0</v>
      </c>
      <c r="V18" s="247">
        <f t="shared" si="11"/>
        <v>142</v>
      </c>
      <c r="W18">
        <v>0.0</v>
      </c>
      <c r="X18" s="247">
        <f t="shared" si="12"/>
        <v>142</v>
      </c>
      <c r="Y18">
        <v>0.0</v>
      </c>
      <c r="Z18" s="247">
        <f t="shared" si="13"/>
        <v>142</v>
      </c>
    </row>
    <row r="19">
      <c r="A19" s="92" t="str">
        <f>IFERROR(__xludf.DUMMYFUNCTION("""COMPUTED_VALUE"""),"Utilities")</f>
        <v>Utilities</v>
      </c>
      <c r="B19" s="246">
        <f>IFERROR(VLOOKUP(A19,'Living Expenses'!J:K,2,FALSE),0)</f>
        <v>135</v>
      </c>
      <c r="C19" s="247">
        <v>0.0</v>
      </c>
      <c r="D19" s="247">
        <f t="shared" si="2"/>
        <v>135</v>
      </c>
      <c r="E19">
        <v>0.0</v>
      </c>
      <c r="F19" s="247">
        <f t="shared" si="3"/>
        <v>135</v>
      </c>
      <c r="G19">
        <v>0.0</v>
      </c>
      <c r="H19" s="247">
        <f t="shared" si="4"/>
        <v>135</v>
      </c>
      <c r="I19">
        <v>0.0</v>
      </c>
      <c r="J19" s="247">
        <f t="shared" si="5"/>
        <v>135</v>
      </c>
      <c r="K19">
        <v>0.0</v>
      </c>
      <c r="L19" s="247">
        <f t="shared" si="6"/>
        <v>135</v>
      </c>
      <c r="M19">
        <v>0.0</v>
      </c>
      <c r="N19" s="247">
        <f t="shared" si="7"/>
        <v>135</v>
      </c>
      <c r="O19">
        <v>0.0</v>
      </c>
      <c r="P19" s="247">
        <f t="shared" si="8"/>
        <v>135</v>
      </c>
      <c r="Q19">
        <v>0.0</v>
      </c>
      <c r="R19" s="247">
        <f t="shared" si="9"/>
        <v>135</v>
      </c>
      <c r="S19">
        <v>0.0</v>
      </c>
      <c r="T19" s="247">
        <f t="shared" si="10"/>
        <v>135</v>
      </c>
      <c r="U19">
        <v>0.0</v>
      </c>
      <c r="V19" s="247">
        <f t="shared" si="11"/>
        <v>135</v>
      </c>
      <c r="W19">
        <v>0.0</v>
      </c>
      <c r="X19" s="247">
        <f t="shared" si="12"/>
        <v>135</v>
      </c>
      <c r="Y19">
        <v>0.0</v>
      </c>
      <c r="Z19" s="247">
        <f t="shared" si="13"/>
        <v>135</v>
      </c>
    </row>
    <row r="20">
      <c r="A20" s="231"/>
      <c r="B20" s="246">
        <f>IFERROR(VLOOKUP(A20,'Living Expenses'!J:K,2,FALSE),0)</f>
        <v>0</v>
      </c>
      <c r="C20" s="247"/>
      <c r="D20" s="247">
        <f t="shared" si="2"/>
        <v>0</v>
      </c>
      <c r="F20" s="247">
        <f t="shared" si="3"/>
        <v>0</v>
      </c>
      <c r="G20" t="s">
        <v>167</v>
      </c>
      <c r="H20" s="247">
        <f t="shared" si="4"/>
        <v>0</v>
      </c>
      <c r="I20" t="s">
        <v>167</v>
      </c>
      <c r="J20" s="247">
        <f t="shared" si="5"/>
        <v>0</v>
      </c>
      <c r="K20" t="s">
        <v>167</v>
      </c>
      <c r="L20" s="247">
        <f t="shared" si="6"/>
        <v>0</v>
      </c>
      <c r="M20" t="s">
        <v>167</v>
      </c>
      <c r="N20" s="247">
        <f t="shared" si="7"/>
        <v>0</v>
      </c>
      <c r="O20" t="s">
        <v>167</v>
      </c>
      <c r="P20" s="247">
        <f t="shared" si="8"/>
        <v>0</v>
      </c>
      <c r="Q20" t="s">
        <v>167</v>
      </c>
      <c r="R20" s="247">
        <f t="shared" si="9"/>
        <v>0</v>
      </c>
      <c r="S20" t="s">
        <v>167</v>
      </c>
      <c r="T20" s="247">
        <f t="shared" si="10"/>
        <v>0</v>
      </c>
      <c r="U20" t="s">
        <v>167</v>
      </c>
      <c r="V20" s="247">
        <f t="shared" si="11"/>
        <v>0</v>
      </c>
      <c r="W20" t="s">
        <v>167</v>
      </c>
      <c r="X20" s="247">
        <f t="shared" si="12"/>
        <v>0</v>
      </c>
      <c r="Y20" t="s">
        <v>167</v>
      </c>
      <c r="Z20" s="247">
        <f t="shared" si="13"/>
        <v>0</v>
      </c>
    </row>
    <row r="21">
      <c r="A21" s="231"/>
      <c r="B21" s="246">
        <f>IFERROR(VLOOKUP(A21,'Living Expenses'!J:K,2,FALSE),0)</f>
        <v>0</v>
      </c>
      <c r="C21" s="247"/>
      <c r="D21" s="247">
        <f t="shared" si="2"/>
        <v>0</v>
      </c>
      <c r="F21" s="247">
        <f t="shared" si="3"/>
        <v>0</v>
      </c>
      <c r="G21" t="s">
        <v>167</v>
      </c>
      <c r="H21" s="247">
        <f t="shared" si="4"/>
        <v>0</v>
      </c>
      <c r="I21" t="s">
        <v>167</v>
      </c>
      <c r="J21" s="247">
        <f t="shared" si="5"/>
        <v>0</v>
      </c>
      <c r="K21" t="s">
        <v>167</v>
      </c>
      <c r="L21" s="247">
        <f t="shared" si="6"/>
        <v>0</v>
      </c>
      <c r="M21" t="s">
        <v>167</v>
      </c>
      <c r="N21" s="247">
        <f t="shared" si="7"/>
        <v>0</v>
      </c>
      <c r="O21" t="s">
        <v>167</v>
      </c>
      <c r="P21" s="247">
        <f t="shared" si="8"/>
        <v>0</v>
      </c>
      <c r="Q21" t="s">
        <v>167</v>
      </c>
      <c r="R21" s="247">
        <f t="shared" si="9"/>
        <v>0</v>
      </c>
      <c r="S21" t="s">
        <v>167</v>
      </c>
      <c r="T21" s="247">
        <f t="shared" si="10"/>
        <v>0</v>
      </c>
      <c r="U21" t="s">
        <v>167</v>
      </c>
      <c r="V21" s="247">
        <f t="shared" si="11"/>
        <v>0</v>
      </c>
      <c r="W21" t="s">
        <v>167</v>
      </c>
      <c r="X21" s="247">
        <f t="shared" si="12"/>
        <v>0</v>
      </c>
      <c r="Y21" t="s">
        <v>167</v>
      </c>
      <c r="Z21" s="247">
        <f t="shared" si="13"/>
        <v>0</v>
      </c>
    </row>
    <row r="22">
      <c r="A22" s="206"/>
      <c r="B22" s="246">
        <f>IFERROR(VLOOKUP(A22,'Living Expenses'!J:K,2,FALSE),0)</f>
        <v>0</v>
      </c>
      <c r="C22" s="247"/>
      <c r="D22" s="247">
        <f t="shared" si="2"/>
        <v>0</v>
      </c>
      <c r="E22" s="250"/>
      <c r="F22" s="247">
        <f t="shared" si="3"/>
        <v>0</v>
      </c>
      <c r="G22" s="250" t="s">
        <v>167</v>
      </c>
      <c r="H22" s="247">
        <f t="shared" si="4"/>
        <v>0</v>
      </c>
      <c r="I22" t="s">
        <v>167</v>
      </c>
      <c r="J22" s="247">
        <f t="shared" si="5"/>
        <v>0</v>
      </c>
      <c r="K22" t="s">
        <v>167</v>
      </c>
      <c r="L22" s="247">
        <f t="shared" si="6"/>
        <v>0</v>
      </c>
      <c r="M22" t="s">
        <v>167</v>
      </c>
      <c r="N22" s="247">
        <f t="shared" si="7"/>
        <v>0</v>
      </c>
      <c r="O22" t="s">
        <v>167</v>
      </c>
      <c r="P22" s="247">
        <f t="shared" si="8"/>
        <v>0</v>
      </c>
      <c r="Q22" t="s">
        <v>167</v>
      </c>
      <c r="R22" s="247">
        <f t="shared" si="9"/>
        <v>0</v>
      </c>
      <c r="S22" t="s">
        <v>167</v>
      </c>
      <c r="T22" s="247">
        <f t="shared" si="10"/>
        <v>0</v>
      </c>
      <c r="U22" t="s">
        <v>167</v>
      </c>
      <c r="V22" s="247">
        <f t="shared" si="11"/>
        <v>0</v>
      </c>
      <c r="W22" t="s">
        <v>167</v>
      </c>
      <c r="X22" s="247">
        <f t="shared" si="12"/>
        <v>0</v>
      </c>
      <c r="Y22" t="s">
        <v>167</v>
      </c>
      <c r="Z22" s="247">
        <f t="shared" si="13"/>
        <v>0</v>
      </c>
    </row>
    <row r="23">
      <c r="A23" s="251"/>
      <c r="B23" s="252"/>
      <c r="C23" s="253"/>
      <c r="D23" s="254"/>
      <c r="E23" s="255"/>
      <c r="F23" s="254"/>
      <c r="G23" s="255" t="s">
        <v>167</v>
      </c>
      <c r="H23" s="255"/>
      <c r="I23" s="255" t="s">
        <v>167</v>
      </c>
      <c r="J23" s="255"/>
      <c r="K23" s="255" t="s">
        <v>167</v>
      </c>
      <c r="L23" s="255"/>
      <c r="M23" s="255" t="s">
        <v>167</v>
      </c>
      <c r="N23" s="255"/>
      <c r="O23" s="255" t="s">
        <v>167</v>
      </c>
      <c r="P23" s="255"/>
      <c r="Q23" s="255" t="s">
        <v>167</v>
      </c>
      <c r="R23" s="255"/>
      <c r="S23" s="255" t="s">
        <v>167</v>
      </c>
      <c r="T23" s="255"/>
      <c r="U23" s="255" t="s">
        <v>167</v>
      </c>
      <c r="V23" s="255"/>
      <c r="W23" s="255" t="s">
        <v>167</v>
      </c>
      <c r="X23" s="255"/>
      <c r="Y23" s="255" t="s">
        <v>167</v>
      </c>
      <c r="Z23" s="255"/>
      <c r="AA23" s="255"/>
      <c r="AB23" s="255"/>
      <c r="AC23" s="255"/>
      <c r="AD23" s="255"/>
      <c r="AE23" s="255"/>
      <c r="AF23" s="255"/>
    </row>
    <row r="24">
      <c r="G24" t="s">
        <v>167</v>
      </c>
      <c r="I24" t="s">
        <v>167</v>
      </c>
      <c r="K24" t="s">
        <v>167</v>
      </c>
      <c r="M24" t="s">
        <v>167</v>
      </c>
      <c r="O24" t="s">
        <v>167</v>
      </c>
      <c r="Q24" t="s">
        <v>167</v>
      </c>
      <c r="S24" t="s">
        <v>167</v>
      </c>
      <c r="U24" t="s">
        <v>167</v>
      </c>
      <c r="W24" t="s">
        <v>167</v>
      </c>
      <c r="Y24" t="s">
        <v>167</v>
      </c>
    </row>
    <row r="25">
      <c r="G25" t="s">
        <v>167</v>
      </c>
      <c r="I25" t="s">
        <v>167</v>
      </c>
      <c r="K25" t="s">
        <v>167</v>
      </c>
      <c r="M25" t="s">
        <v>167</v>
      </c>
      <c r="O25" t="s">
        <v>167</v>
      </c>
      <c r="Q25" t="s">
        <v>167</v>
      </c>
      <c r="S25" t="s">
        <v>167</v>
      </c>
      <c r="U25" t="s">
        <v>167</v>
      </c>
      <c r="W25" t="s">
        <v>167</v>
      </c>
      <c r="Y25" t="s">
        <v>167</v>
      </c>
    </row>
    <row r="26">
      <c r="G26" t="s">
        <v>167</v>
      </c>
      <c r="I26" t="s">
        <v>167</v>
      </c>
      <c r="K26" t="s">
        <v>167</v>
      </c>
      <c r="M26" t="s">
        <v>167</v>
      </c>
      <c r="O26" t="s">
        <v>167</v>
      </c>
      <c r="Q26" t="s">
        <v>167</v>
      </c>
      <c r="S26" t="s">
        <v>167</v>
      </c>
      <c r="U26" t="s">
        <v>167</v>
      </c>
      <c r="W26" t="s">
        <v>167</v>
      </c>
      <c r="Y26" t="s">
        <v>167</v>
      </c>
    </row>
    <row r="27">
      <c r="G27" t="s">
        <v>167</v>
      </c>
      <c r="I27" t="s">
        <v>167</v>
      </c>
      <c r="K27" t="s">
        <v>167</v>
      </c>
      <c r="M27" t="s">
        <v>167</v>
      </c>
      <c r="O27" t="s">
        <v>167</v>
      </c>
      <c r="Q27" t="s">
        <v>167</v>
      </c>
      <c r="S27" t="s">
        <v>167</v>
      </c>
      <c r="U27" t="s">
        <v>167</v>
      </c>
      <c r="W27" t="s">
        <v>167</v>
      </c>
      <c r="Y27" t="s">
        <v>167</v>
      </c>
    </row>
    <row r="28">
      <c r="G28" t="s">
        <v>167</v>
      </c>
      <c r="I28" t="s">
        <v>167</v>
      </c>
      <c r="K28" t="s">
        <v>167</v>
      </c>
      <c r="M28" t="s">
        <v>167</v>
      </c>
      <c r="O28" t="s">
        <v>167</v>
      </c>
      <c r="Q28" t="s">
        <v>167</v>
      </c>
      <c r="S28" t="s">
        <v>167</v>
      </c>
      <c r="U28" t="s">
        <v>167</v>
      </c>
      <c r="W28" t="s">
        <v>167</v>
      </c>
      <c r="Y28" t="s">
        <v>167</v>
      </c>
    </row>
    <row r="29">
      <c r="G29" t="s">
        <v>167</v>
      </c>
      <c r="I29" t="s">
        <v>167</v>
      </c>
      <c r="K29" t="s">
        <v>167</v>
      </c>
      <c r="M29" t="s">
        <v>167</v>
      </c>
      <c r="O29" t="s">
        <v>167</v>
      </c>
      <c r="Q29" t="s">
        <v>167</v>
      </c>
      <c r="S29" t="s">
        <v>167</v>
      </c>
      <c r="U29" t="s">
        <v>167</v>
      </c>
      <c r="W29" t="s">
        <v>167</v>
      </c>
      <c r="Y29" t="s">
        <v>167</v>
      </c>
    </row>
    <row r="30">
      <c r="G30" t="s">
        <v>167</v>
      </c>
      <c r="I30" t="s">
        <v>167</v>
      </c>
      <c r="K30" t="s">
        <v>167</v>
      </c>
      <c r="M30" t="s">
        <v>167</v>
      </c>
      <c r="O30" t="s">
        <v>167</v>
      </c>
      <c r="Q30" t="s">
        <v>167</v>
      </c>
      <c r="S30" t="s">
        <v>167</v>
      </c>
      <c r="U30" t="s">
        <v>167</v>
      </c>
      <c r="W30" t="s">
        <v>167</v>
      </c>
      <c r="Y30" t="s">
        <v>167</v>
      </c>
    </row>
    <row r="31">
      <c r="G31" t="s">
        <v>167</v>
      </c>
      <c r="I31" t="s">
        <v>167</v>
      </c>
      <c r="K31" t="s">
        <v>167</v>
      </c>
      <c r="M31" t="s">
        <v>167</v>
      </c>
      <c r="O31" t="s">
        <v>167</v>
      </c>
      <c r="Q31" t="s">
        <v>167</v>
      </c>
      <c r="S31" t="s">
        <v>167</v>
      </c>
      <c r="U31" t="s">
        <v>167</v>
      </c>
      <c r="W31" t="s">
        <v>167</v>
      </c>
      <c r="Y31" t="s">
        <v>167</v>
      </c>
    </row>
    <row r="32">
      <c r="G32" t="s">
        <v>167</v>
      </c>
      <c r="I32" t="s">
        <v>167</v>
      </c>
      <c r="K32" t="s">
        <v>167</v>
      </c>
      <c r="M32" t="s">
        <v>167</v>
      </c>
      <c r="O32" t="s">
        <v>167</v>
      </c>
      <c r="Q32" t="s">
        <v>167</v>
      </c>
      <c r="S32" t="s">
        <v>167</v>
      </c>
      <c r="U32" t="s">
        <v>167</v>
      </c>
      <c r="W32" t="s">
        <v>167</v>
      </c>
      <c r="Y32" t="s">
        <v>167</v>
      </c>
    </row>
    <row r="33">
      <c r="G33" t="s">
        <v>167</v>
      </c>
      <c r="I33" t="s">
        <v>167</v>
      </c>
      <c r="K33" t="s">
        <v>167</v>
      </c>
      <c r="M33" t="s">
        <v>167</v>
      </c>
      <c r="O33" t="s">
        <v>167</v>
      </c>
      <c r="Q33" t="s">
        <v>167</v>
      </c>
      <c r="S33" t="s">
        <v>167</v>
      </c>
      <c r="U33" t="s">
        <v>167</v>
      </c>
      <c r="W33" t="s">
        <v>167</v>
      </c>
      <c r="Y33" t="s">
        <v>167</v>
      </c>
    </row>
    <row r="34">
      <c r="G34" t="s">
        <v>167</v>
      </c>
      <c r="I34" t="s">
        <v>167</v>
      </c>
      <c r="K34" t="s">
        <v>167</v>
      </c>
      <c r="M34" t="s">
        <v>167</v>
      </c>
      <c r="O34" t="s">
        <v>167</v>
      </c>
      <c r="Q34" t="s">
        <v>167</v>
      </c>
      <c r="S34" t="s">
        <v>167</v>
      </c>
      <c r="U34" t="s">
        <v>167</v>
      </c>
      <c r="W34" t="s">
        <v>167</v>
      </c>
      <c r="Y34" t="s">
        <v>167</v>
      </c>
    </row>
    <row r="35">
      <c r="G35" t="s">
        <v>167</v>
      </c>
      <c r="I35" t="s">
        <v>167</v>
      </c>
      <c r="K35" t="s">
        <v>167</v>
      </c>
      <c r="M35" t="s">
        <v>167</v>
      </c>
      <c r="O35" t="s">
        <v>167</v>
      </c>
      <c r="Q35" t="s">
        <v>167</v>
      </c>
      <c r="S35" t="s">
        <v>167</v>
      </c>
      <c r="U35" t="s">
        <v>167</v>
      </c>
      <c r="W35" t="s">
        <v>167</v>
      </c>
      <c r="Y35" t="s">
        <v>167</v>
      </c>
    </row>
    <row r="36">
      <c r="G36" t="s">
        <v>167</v>
      </c>
      <c r="I36" t="s">
        <v>167</v>
      </c>
      <c r="K36" t="s">
        <v>167</v>
      </c>
      <c r="M36" t="s">
        <v>167</v>
      </c>
      <c r="O36" t="s">
        <v>167</v>
      </c>
      <c r="Q36" t="s">
        <v>167</v>
      </c>
      <c r="S36" t="s">
        <v>167</v>
      </c>
      <c r="U36" t="s">
        <v>167</v>
      </c>
      <c r="W36" t="s">
        <v>167</v>
      </c>
      <c r="Y36" t="s">
        <v>167</v>
      </c>
    </row>
    <row r="37">
      <c r="G37" t="s">
        <v>167</v>
      </c>
      <c r="I37" t="s">
        <v>167</v>
      </c>
      <c r="K37" t="s">
        <v>167</v>
      </c>
      <c r="M37" t="s">
        <v>167</v>
      </c>
      <c r="O37" t="s">
        <v>167</v>
      </c>
      <c r="Q37" t="s">
        <v>167</v>
      </c>
      <c r="S37" t="s">
        <v>167</v>
      </c>
      <c r="U37" t="s">
        <v>167</v>
      </c>
      <c r="W37" t="s">
        <v>167</v>
      </c>
      <c r="Y37" t="s">
        <v>167</v>
      </c>
    </row>
    <row r="38">
      <c r="G38" t="s">
        <v>167</v>
      </c>
      <c r="I38" t="s">
        <v>167</v>
      </c>
      <c r="K38" t="s">
        <v>167</v>
      </c>
      <c r="M38" t="s">
        <v>167</v>
      </c>
      <c r="O38" t="s">
        <v>167</v>
      </c>
      <c r="Q38" t="s">
        <v>167</v>
      </c>
      <c r="S38" t="s">
        <v>167</v>
      </c>
      <c r="U38" t="s">
        <v>167</v>
      </c>
      <c r="W38" t="s">
        <v>167</v>
      </c>
      <c r="Y38" t="s">
        <v>167</v>
      </c>
    </row>
    <row r="39">
      <c r="G39" t="s">
        <v>167</v>
      </c>
      <c r="I39" t="s">
        <v>167</v>
      </c>
      <c r="K39" t="s">
        <v>167</v>
      </c>
      <c r="M39" t="s">
        <v>167</v>
      </c>
      <c r="O39" t="s">
        <v>167</v>
      </c>
      <c r="Q39" t="s">
        <v>167</v>
      </c>
      <c r="S39" t="s">
        <v>167</v>
      </c>
      <c r="U39" t="s">
        <v>167</v>
      </c>
      <c r="W39" t="s">
        <v>167</v>
      </c>
      <c r="Y39" t="s">
        <v>167</v>
      </c>
    </row>
    <row r="40">
      <c r="G40" t="s">
        <v>167</v>
      </c>
      <c r="I40" t="s">
        <v>167</v>
      </c>
      <c r="K40" t="s">
        <v>167</v>
      </c>
      <c r="M40" t="s">
        <v>167</v>
      </c>
      <c r="O40" t="s">
        <v>167</v>
      </c>
      <c r="Q40" t="s">
        <v>167</v>
      </c>
      <c r="S40" t="s">
        <v>167</v>
      </c>
      <c r="U40" t="s">
        <v>167</v>
      </c>
      <c r="W40" t="s">
        <v>167</v>
      </c>
      <c r="Y40" t="s">
        <v>167</v>
      </c>
    </row>
    <row r="41">
      <c r="G41" t="s">
        <v>167</v>
      </c>
      <c r="I41" t="s">
        <v>167</v>
      </c>
      <c r="K41" t="s">
        <v>167</v>
      </c>
      <c r="M41" t="s">
        <v>167</v>
      </c>
      <c r="O41" t="s">
        <v>167</v>
      </c>
      <c r="Q41" t="s">
        <v>167</v>
      </c>
      <c r="S41" t="s">
        <v>167</v>
      </c>
      <c r="U41" t="s">
        <v>167</v>
      </c>
      <c r="W41" t="s">
        <v>167</v>
      </c>
      <c r="Y41" t="s">
        <v>167</v>
      </c>
    </row>
    <row r="42">
      <c r="G42" t="s">
        <v>167</v>
      </c>
      <c r="I42" t="s">
        <v>167</v>
      </c>
      <c r="K42" t="s">
        <v>167</v>
      </c>
      <c r="M42" t="s">
        <v>167</v>
      </c>
      <c r="O42" t="s">
        <v>167</v>
      </c>
      <c r="Q42" t="s">
        <v>167</v>
      </c>
      <c r="S42" t="s">
        <v>167</v>
      </c>
      <c r="U42" t="s">
        <v>167</v>
      </c>
      <c r="W42" t="s">
        <v>167</v>
      </c>
      <c r="Y42" t="s">
        <v>167</v>
      </c>
    </row>
    <row r="43">
      <c r="G43" t="s">
        <v>167</v>
      </c>
      <c r="I43" t="s">
        <v>167</v>
      </c>
      <c r="K43" t="s">
        <v>167</v>
      </c>
      <c r="M43" t="s">
        <v>167</v>
      </c>
      <c r="O43" t="s">
        <v>167</v>
      </c>
      <c r="Q43" t="s">
        <v>167</v>
      </c>
      <c r="S43" t="s">
        <v>167</v>
      </c>
      <c r="U43" t="s">
        <v>167</v>
      </c>
      <c r="W43" t="s">
        <v>167</v>
      </c>
      <c r="Y43" t="s">
        <v>167</v>
      </c>
    </row>
    <row r="44">
      <c r="G44" t="s">
        <v>167</v>
      </c>
      <c r="I44" t="s">
        <v>167</v>
      </c>
      <c r="K44" t="s">
        <v>167</v>
      </c>
      <c r="M44" t="s">
        <v>167</v>
      </c>
      <c r="O44" t="s">
        <v>167</v>
      </c>
      <c r="Q44" t="s">
        <v>167</v>
      </c>
      <c r="S44" t="s">
        <v>167</v>
      </c>
      <c r="U44" t="s">
        <v>167</v>
      </c>
      <c r="W44" t="s">
        <v>167</v>
      </c>
      <c r="Y44" t="s">
        <v>167</v>
      </c>
    </row>
    <row r="45">
      <c r="G45" t="s">
        <v>167</v>
      </c>
      <c r="I45" t="s">
        <v>167</v>
      </c>
      <c r="K45" t="s">
        <v>167</v>
      </c>
      <c r="M45" t="s">
        <v>167</v>
      </c>
      <c r="O45" t="s">
        <v>167</v>
      </c>
      <c r="Q45" t="s">
        <v>167</v>
      </c>
      <c r="S45" t="s">
        <v>167</v>
      </c>
      <c r="U45" t="s">
        <v>167</v>
      </c>
      <c r="W45" t="s">
        <v>167</v>
      </c>
      <c r="Y45" t="s">
        <v>167</v>
      </c>
    </row>
    <row r="46">
      <c r="G46" t="s">
        <v>167</v>
      </c>
      <c r="I46" t="s">
        <v>167</v>
      </c>
      <c r="K46" t="s">
        <v>167</v>
      </c>
      <c r="M46" t="s">
        <v>167</v>
      </c>
      <c r="O46" t="s">
        <v>167</v>
      </c>
      <c r="Q46" t="s">
        <v>167</v>
      </c>
      <c r="S46" t="s">
        <v>167</v>
      </c>
      <c r="U46" t="s">
        <v>167</v>
      </c>
      <c r="W46" t="s">
        <v>167</v>
      </c>
      <c r="Y46" t="s">
        <v>167</v>
      </c>
    </row>
    <row r="47">
      <c r="G47" t="s">
        <v>167</v>
      </c>
      <c r="I47" t="s">
        <v>167</v>
      </c>
      <c r="K47" t="s">
        <v>167</v>
      </c>
      <c r="M47" t="s">
        <v>167</v>
      </c>
      <c r="O47" t="s">
        <v>167</v>
      </c>
      <c r="Q47" t="s">
        <v>167</v>
      </c>
      <c r="S47" t="s">
        <v>167</v>
      </c>
      <c r="U47" t="s">
        <v>167</v>
      </c>
      <c r="W47" t="s">
        <v>167</v>
      </c>
      <c r="Y47" t="s">
        <v>167</v>
      </c>
    </row>
    <row r="48">
      <c r="G48" t="s">
        <v>167</v>
      </c>
      <c r="I48" t="s">
        <v>167</v>
      </c>
      <c r="K48" t="s">
        <v>167</v>
      </c>
      <c r="M48" t="s">
        <v>167</v>
      </c>
      <c r="O48" t="s">
        <v>167</v>
      </c>
      <c r="Q48" t="s">
        <v>167</v>
      </c>
      <c r="S48" t="s">
        <v>167</v>
      </c>
      <c r="U48" t="s">
        <v>167</v>
      </c>
      <c r="W48" t="s">
        <v>167</v>
      </c>
      <c r="Y48" t="s">
        <v>167</v>
      </c>
    </row>
    <row r="49">
      <c r="G49" t="s">
        <v>167</v>
      </c>
      <c r="I49" t="s">
        <v>167</v>
      </c>
      <c r="K49" t="s">
        <v>167</v>
      </c>
      <c r="M49" t="s">
        <v>167</v>
      </c>
      <c r="O49" t="s">
        <v>167</v>
      </c>
      <c r="Q49" t="s">
        <v>167</v>
      </c>
      <c r="S49" t="s">
        <v>167</v>
      </c>
      <c r="U49" t="s">
        <v>167</v>
      </c>
      <c r="W49" t="s">
        <v>167</v>
      </c>
      <c r="Y49" t="s">
        <v>167</v>
      </c>
    </row>
    <row r="50">
      <c r="G50" t="s">
        <v>167</v>
      </c>
      <c r="I50" t="s">
        <v>167</v>
      </c>
      <c r="K50" t="s">
        <v>167</v>
      </c>
      <c r="M50" t="s">
        <v>167</v>
      </c>
      <c r="O50" t="s">
        <v>167</v>
      </c>
      <c r="Q50" t="s">
        <v>167</v>
      </c>
      <c r="S50" t="s">
        <v>167</v>
      </c>
      <c r="U50" t="s">
        <v>167</v>
      </c>
      <c r="W50" t="s">
        <v>167</v>
      </c>
      <c r="Y50" t="s">
        <v>167</v>
      </c>
    </row>
    <row r="51">
      <c r="G51" t="s">
        <v>167</v>
      </c>
      <c r="I51" t="s">
        <v>167</v>
      </c>
      <c r="K51" t="s">
        <v>167</v>
      </c>
      <c r="M51" t="s">
        <v>167</v>
      </c>
      <c r="O51" t="s">
        <v>167</v>
      </c>
      <c r="Q51" t="s">
        <v>167</v>
      </c>
      <c r="S51" t="s">
        <v>167</v>
      </c>
      <c r="U51" t="s">
        <v>167</v>
      </c>
      <c r="W51" t="s">
        <v>167</v>
      </c>
      <c r="Y51" t="s">
        <v>167</v>
      </c>
    </row>
    <row r="52">
      <c r="G52" t="s">
        <v>167</v>
      </c>
      <c r="I52" t="s">
        <v>167</v>
      </c>
      <c r="K52" t="s">
        <v>167</v>
      </c>
      <c r="M52" t="s">
        <v>167</v>
      </c>
      <c r="O52" t="s">
        <v>167</v>
      </c>
      <c r="Q52" t="s">
        <v>167</v>
      </c>
      <c r="S52" t="s">
        <v>167</v>
      </c>
      <c r="U52" t="s">
        <v>167</v>
      </c>
      <c r="W52" t="s">
        <v>167</v>
      </c>
      <c r="Y52" t="s">
        <v>167</v>
      </c>
    </row>
    <row r="53">
      <c r="G53" t="s">
        <v>167</v>
      </c>
      <c r="I53" t="s">
        <v>167</v>
      </c>
      <c r="K53" t="s">
        <v>167</v>
      </c>
      <c r="M53" t="s">
        <v>167</v>
      </c>
      <c r="O53" t="s">
        <v>167</v>
      </c>
      <c r="Q53" t="s">
        <v>167</v>
      </c>
      <c r="S53" t="s">
        <v>167</v>
      </c>
      <c r="U53" t="s">
        <v>167</v>
      </c>
      <c r="W53" t="s">
        <v>167</v>
      </c>
      <c r="Y53" t="s">
        <v>167</v>
      </c>
    </row>
    <row r="54">
      <c r="G54" t="s">
        <v>167</v>
      </c>
      <c r="I54" t="s">
        <v>167</v>
      </c>
      <c r="K54" t="s">
        <v>167</v>
      </c>
      <c r="M54" t="s">
        <v>167</v>
      </c>
      <c r="O54" t="s">
        <v>167</v>
      </c>
      <c r="Q54" t="s">
        <v>167</v>
      </c>
      <c r="S54" t="s">
        <v>167</v>
      </c>
      <c r="U54" t="s">
        <v>167</v>
      </c>
      <c r="W54" t="s">
        <v>167</v>
      </c>
      <c r="Y54" t="s">
        <v>167</v>
      </c>
    </row>
    <row r="55">
      <c r="G55" t="s">
        <v>167</v>
      </c>
      <c r="I55" t="s">
        <v>167</v>
      </c>
      <c r="K55" t="s">
        <v>167</v>
      </c>
      <c r="M55" t="s">
        <v>167</v>
      </c>
      <c r="O55" t="s">
        <v>167</v>
      </c>
      <c r="Q55" t="s">
        <v>167</v>
      </c>
      <c r="S55" t="s">
        <v>167</v>
      </c>
      <c r="U55" t="s">
        <v>167</v>
      </c>
      <c r="W55" t="s">
        <v>167</v>
      </c>
      <c r="Y55" t="s">
        <v>167</v>
      </c>
    </row>
    <row r="56">
      <c r="G56" t="s">
        <v>167</v>
      </c>
      <c r="I56" t="s">
        <v>167</v>
      </c>
      <c r="K56" t="s">
        <v>167</v>
      </c>
      <c r="M56" t="s">
        <v>167</v>
      </c>
      <c r="O56" t="s">
        <v>167</v>
      </c>
      <c r="Q56" t="s">
        <v>167</v>
      </c>
      <c r="S56" t="s">
        <v>167</v>
      </c>
      <c r="U56" t="s">
        <v>167</v>
      </c>
      <c r="W56" t="s">
        <v>167</v>
      </c>
      <c r="Y56" t="s">
        <v>167</v>
      </c>
    </row>
    <row r="57">
      <c r="G57" t="s">
        <v>167</v>
      </c>
      <c r="I57" t="s">
        <v>167</v>
      </c>
      <c r="K57" t="s">
        <v>167</v>
      </c>
      <c r="M57" t="s">
        <v>167</v>
      </c>
      <c r="O57" t="s">
        <v>167</v>
      </c>
      <c r="Q57" t="s">
        <v>167</v>
      </c>
      <c r="S57" t="s">
        <v>167</v>
      </c>
      <c r="U57" t="s">
        <v>167</v>
      </c>
      <c r="W57" t="s">
        <v>167</v>
      </c>
      <c r="Y57" t="s">
        <v>167</v>
      </c>
    </row>
    <row r="58">
      <c r="G58" t="s">
        <v>167</v>
      </c>
      <c r="I58" t="s">
        <v>167</v>
      </c>
      <c r="K58" t="s">
        <v>167</v>
      </c>
      <c r="M58" t="s">
        <v>167</v>
      </c>
      <c r="O58" t="s">
        <v>167</v>
      </c>
      <c r="Q58" t="s">
        <v>167</v>
      </c>
      <c r="S58" t="s">
        <v>167</v>
      </c>
      <c r="U58" t="s">
        <v>167</v>
      </c>
      <c r="W58" t="s">
        <v>167</v>
      </c>
      <c r="Y58" t="s">
        <v>167</v>
      </c>
    </row>
    <row r="59">
      <c r="G59" t="s">
        <v>167</v>
      </c>
      <c r="I59" t="s">
        <v>167</v>
      </c>
      <c r="K59" t="s">
        <v>167</v>
      </c>
      <c r="M59" t="s">
        <v>167</v>
      </c>
      <c r="O59" t="s">
        <v>167</v>
      </c>
      <c r="Q59" t="s">
        <v>167</v>
      </c>
      <c r="S59" t="s">
        <v>167</v>
      </c>
      <c r="U59" t="s">
        <v>167</v>
      </c>
      <c r="W59" t="s">
        <v>167</v>
      </c>
      <c r="Y59" t="s">
        <v>167</v>
      </c>
    </row>
    <row r="60">
      <c r="G60" t="s">
        <v>167</v>
      </c>
      <c r="I60" t="s">
        <v>167</v>
      </c>
      <c r="K60" t="s">
        <v>167</v>
      </c>
      <c r="M60" t="s">
        <v>167</v>
      </c>
      <c r="O60" t="s">
        <v>167</v>
      </c>
      <c r="Q60" t="s">
        <v>167</v>
      </c>
      <c r="S60" t="s">
        <v>167</v>
      </c>
      <c r="U60" t="s">
        <v>167</v>
      </c>
      <c r="W60" t="s">
        <v>167</v>
      </c>
      <c r="Y60" t="s">
        <v>167</v>
      </c>
    </row>
    <row r="61">
      <c r="G61" t="s">
        <v>167</v>
      </c>
      <c r="I61" t="s">
        <v>167</v>
      </c>
      <c r="K61" t="s">
        <v>167</v>
      </c>
      <c r="M61" t="s">
        <v>167</v>
      </c>
      <c r="O61" t="s">
        <v>167</v>
      </c>
      <c r="Q61" t="s">
        <v>167</v>
      </c>
      <c r="S61" t="s">
        <v>167</v>
      </c>
      <c r="U61" t="s">
        <v>167</v>
      </c>
      <c r="W61" t="s">
        <v>167</v>
      </c>
      <c r="Y61" t="s">
        <v>167</v>
      </c>
    </row>
    <row r="62">
      <c r="G62" t="s">
        <v>167</v>
      </c>
      <c r="I62" t="s">
        <v>167</v>
      </c>
      <c r="K62" t="s">
        <v>167</v>
      </c>
      <c r="M62" t="s">
        <v>167</v>
      </c>
      <c r="O62" t="s">
        <v>167</v>
      </c>
      <c r="Q62" t="s">
        <v>167</v>
      </c>
      <c r="S62" t="s">
        <v>167</v>
      </c>
      <c r="U62" t="s">
        <v>167</v>
      </c>
      <c r="W62" t="s">
        <v>167</v>
      </c>
      <c r="Y62" t="s">
        <v>167</v>
      </c>
    </row>
    <row r="63">
      <c r="G63" t="s">
        <v>167</v>
      </c>
      <c r="I63" t="s">
        <v>167</v>
      </c>
      <c r="K63" t="s">
        <v>167</v>
      </c>
      <c r="M63" t="s">
        <v>167</v>
      </c>
      <c r="O63" t="s">
        <v>167</v>
      </c>
      <c r="Q63" t="s">
        <v>167</v>
      </c>
      <c r="S63" t="s">
        <v>167</v>
      </c>
      <c r="U63" t="s">
        <v>167</v>
      </c>
      <c r="W63" t="s">
        <v>167</v>
      </c>
      <c r="Y63" t="s">
        <v>167</v>
      </c>
    </row>
    <row r="64">
      <c r="G64" t="s">
        <v>167</v>
      </c>
      <c r="I64" t="s">
        <v>167</v>
      </c>
      <c r="K64" t="s">
        <v>167</v>
      </c>
      <c r="M64" t="s">
        <v>167</v>
      </c>
      <c r="O64" t="s">
        <v>167</v>
      </c>
      <c r="Q64" t="s">
        <v>167</v>
      </c>
      <c r="S64" t="s">
        <v>167</v>
      </c>
      <c r="U64" t="s">
        <v>167</v>
      </c>
      <c r="W64" t="s">
        <v>167</v>
      </c>
      <c r="Y64" t="s">
        <v>167</v>
      </c>
    </row>
    <row r="65">
      <c r="G65" t="s">
        <v>167</v>
      </c>
      <c r="I65" t="s">
        <v>167</v>
      </c>
      <c r="K65" t="s">
        <v>167</v>
      </c>
      <c r="M65" t="s">
        <v>167</v>
      </c>
      <c r="O65" t="s">
        <v>167</v>
      </c>
      <c r="Q65" t="s">
        <v>167</v>
      </c>
      <c r="S65" t="s">
        <v>167</v>
      </c>
      <c r="U65" t="s">
        <v>167</v>
      </c>
      <c r="W65" t="s">
        <v>167</v>
      </c>
      <c r="Y65" t="s">
        <v>167</v>
      </c>
    </row>
    <row r="66">
      <c r="G66" t="s">
        <v>167</v>
      </c>
      <c r="I66" t="s">
        <v>167</v>
      </c>
      <c r="K66" t="s">
        <v>167</v>
      </c>
      <c r="M66" t="s">
        <v>167</v>
      </c>
      <c r="O66" t="s">
        <v>167</v>
      </c>
      <c r="Q66" t="s">
        <v>167</v>
      </c>
      <c r="S66" t="s">
        <v>167</v>
      </c>
      <c r="U66" t="s">
        <v>167</v>
      </c>
      <c r="W66" t="s">
        <v>167</v>
      </c>
      <c r="Y66" t="s">
        <v>167</v>
      </c>
    </row>
    <row r="67">
      <c r="G67" t="s">
        <v>167</v>
      </c>
      <c r="I67" t="s">
        <v>167</v>
      </c>
      <c r="K67" t="s">
        <v>167</v>
      </c>
      <c r="M67" t="s">
        <v>167</v>
      </c>
      <c r="O67" t="s">
        <v>167</v>
      </c>
      <c r="Q67" t="s">
        <v>167</v>
      </c>
      <c r="S67" t="s">
        <v>167</v>
      </c>
      <c r="U67" t="s">
        <v>167</v>
      </c>
      <c r="W67" t="s">
        <v>167</v>
      </c>
      <c r="Y67" t="s">
        <v>167</v>
      </c>
    </row>
    <row r="68">
      <c r="G68" t="s">
        <v>167</v>
      </c>
      <c r="I68" t="s">
        <v>167</v>
      </c>
      <c r="K68" t="s">
        <v>167</v>
      </c>
      <c r="M68" t="s">
        <v>167</v>
      </c>
      <c r="O68" t="s">
        <v>167</v>
      </c>
      <c r="Q68" t="s">
        <v>167</v>
      </c>
      <c r="S68" t="s">
        <v>167</v>
      </c>
      <c r="U68" t="s">
        <v>167</v>
      </c>
      <c r="W68" t="s">
        <v>167</v>
      </c>
      <c r="Y68" t="s">
        <v>167</v>
      </c>
    </row>
    <row r="69">
      <c r="G69" t="s">
        <v>167</v>
      </c>
      <c r="I69" t="s">
        <v>167</v>
      </c>
      <c r="K69" t="s">
        <v>167</v>
      </c>
      <c r="M69" t="s">
        <v>167</v>
      </c>
      <c r="O69" t="s">
        <v>167</v>
      </c>
      <c r="Q69" t="s">
        <v>167</v>
      </c>
      <c r="S69" t="s">
        <v>167</v>
      </c>
      <c r="U69" t="s">
        <v>167</v>
      </c>
      <c r="W69" t="s">
        <v>167</v>
      </c>
      <c r="Y69" t="s">
        <v>167</v>
      </c>
    </row>
    <row r="70">
      <c r="G70" t="s">
        <v>167</v>
      </c>
      <c r="I70" t="s">
        <v>167</v>
      </c>
      <c r="K70" t="s">
        <v>167</v>
      </c>
      <c r="M70" t="s">
        <v>167</v>
      </c>
      <c r="O70" t="s">
        <v>167</v>
      </c>
      <c r="Q70" t="s">
        <v>167</v>
      </c>
      <c r="S70" t="s">
        <v>167</v>
      </c>
      <c r="U70" t="s">
        <v>167</v>
      </c>
      <c r="W70" t="s">
        <v>167</v>
      </c>
      <c r="Y70" t="s">
        <v>167</v>
      </c>
    </row>
    <row r="71">
      <c r="G71" t="s">
        <v>167</v>
      </c>
      <c r="I71" t="s">
        <v>167</v>
      </c>
      <c r="K71" t="s">
        <v>167</v>
      </c>
      <c r="M71" t="s">
        <v>167</v>
      </c>
      <c r="O71" t="s">
        <v>167</v>
      </c>
      <c r="Q71" t="s">
        <v>167</v>
      </c>
      <c r="S71" t="s">
        <v>167</v>
      </c>
      <c r="U71" t="s">
        <v>167</v>
      </c>
      <c r="W71" t="s">
        <v>167</v>
      </c>
      <c r="Y71" t="s">
        <v>167</v>
      </c>
    </row>
    <row r="72">
      <c r="G72" t="s">
        <v>167</v>
      </c>
      <c r="I72" t="s">
        <v>167</v>
      </c>
      <c r="K72" t="s">
        <v>167</v>
      </c>
      <c r="M72" t="s">
        <v>167</v>
      </c>
      <c r="O72" t="s">
        <v>167</v>
      </c>
      <c r="Q72" t="s">
        <v>167</v>
      </c>
      <c r="S72" t="s">
        <v>167</v>
      </c>
      <c r="U72" t="s">
        <v>167</v>
      </c>
      <c r="W72" t="s">
        <v>167</v>
      </c>
      <c r="Y72" t="s">
        <v>167</v>
      </c>
    </row>
    <row r="73">
      <c r="G73" t="s">
        <v>167</v>
      </c>
      <c r="I73" t="s">
        <v>167</v>
      </c>
      <c r="K73" t="s">
        <v>167</v>
      </c>
      <c r="M73" t="s">
        <v>167</v>
      </c>
      <c r="O73" t="s">
        <v>167</v>
      </c>
      <c r="Q73" t="s">
        <v>167</v>
      </c>
      <c r="S73" t="s">
        <v>167</v>
      </c>
      <c r="U73" t="s">
        <v>167</v>
      </c>
      <c r="W73" t="s">
        <v>167</v>
      </c>
      <c r="Y73" t="s">
        <v>167</v>
      </c>
    </row>
    <row r="74">
      <c r="G74" t="s">
        <v>167</v>
      </c>
      <c r="I74" t="s">
        <v>167</v>
      </c>
      <c r="K74" t="s">
        <v>167</v>
      </c>
      <c r="M74" t="s">
        <v>167</v>
      </c>
      <c r="O74" t="s">
        <v>167</v>
      </c>
      <c r="Q74" t="s">
        <v>167</v>
      </c>
      <c r="S74" t="s">
        <v>167</v>
      </c>
      <c r="U74" t="s">
        <v>167</v>
      </c>
      <c r="W74" t="s">
        <v>167</v>
      </c>
      <c r="Y74" t="s">
        <v>167</v>
      </c>
    </row>
    <row r="75">
      <c r="G75" t="s">
        <v>167</v>
      </c>
      <c r="I75" t="s">
        <v>167</v>
      </c>
      <c r="K75" t="s">
        <v>167</v>
      </c>
      <c r="M75" t="s">
        <v>167</v>
      </c>
      <c r="O75" t="s">
        <v>167</v>
      </c>
      <c r="Q75" t="s">
        <v>167</v>
      </c>
      <c r="S75" t="s">
        <v>167</v>
      </c>
      <c r="U75" t="s">
        <v>167</v>
      </c>
      <c r="W75" t="s">
        <v>167</v>
      </c>
      <c r="Y75" t="s">
        <v>167</v>
      </c>
    </row>
    <row r="76">
      <c r="G76" t="s">
        <v>167</v>
      </c>
      <c r="I76" t="s">
        <v>167</v>
      </c>
      <c r="K76" t="s">
        <v>167</v>
      </c>
      <c r="M76" t="s">
        <v>167</v>
      </c>
      <c r="O76" t="s">
        <v>167</v>
      </c>
      <c r="Q76" t="s">
        <v>167</v>
      </c>
      <c r="S76" t="s">
        <v>167</v>
      </c>
      <c r="U76" t="s">
        <v>167</v>
      </c>
      <c r="W76" t="s">
        <v>167</v>
      </c>
      <c r="Y76" t="s">
        <v>167</v>
      </c>
    </row>
    <row r="77">
      <c r="G77" t="s">
        <v>167</v>
      </c>
      <c r="I77" t="s">
        <v>167</v>
      </c>
      <c r="K77" t="s">
        <v>167</v>
      </c>
      <c r="M77" t="s">
        <v>167</v>
      </c>
      <c r="O77" t="s">
        <v>167</v>
      </c>
      <c r="Q77" t="s">
        <v>167</v>
      </c>
      <c r="S77" t="s">
        <v>167</v>
      </c>
      <c r="U77" t="s">
        <v>167</v>
      </c>
      <c r="W77" t="s">
        <v>167</v>
      </c>
      <c r="Y77" t="s">
        <v>167</v>
      </c>
    </row>
    <row r="78">
      <c r="G78" t="s">
        <v>167</v>
      </c>
      <c r="I78" t="s">
        <v>167</v>
      </c>
      <c r="K78" t="s">
        <v>167</v>
      </c>
      <c r="M78" t="s">
        <v>167</v>
      </c>
      <c r="O78" t="s">
        <v>167</v>
      </c>
      <c r="Q78" t="s">
        <v>167</v>
      </c>
      <c r="S78" t="s">
        <v>167</v>
      </c>
      <c r="U78" t="s">
        <v>167</v>
      </c>
      <c r="W78" t="s">
        <v>167</v>
      </c>
      <c r="Y78" t="s">
        <v>167</v>
      </c>
    </row>
    <row r="79">
      <c r="G79" t="s">
        <v>167</v>
      </c>
      <c r="I79" t="s">
        <v>167</v>
      </c>
      <c r="K79" t="s">
        <v>167</v>
      </c>
      <c r="M79" t="s">
        <v>167</v>
      </c>
      <c r="O79" t="s">
        <v>167</v>
      </c>
      <c r="Q79" t="s">
        <v>167</v>
      </c>
      <c r="S79" t="s">
        <v>167</v>
      </c>
      <c r="U79" t="s">
        <v>167</v>
      </c>
      <c r="W79" t="s">
        <v>167</v>
      </c>
      <c r="Y79" t="s">
        <v>167</v>
      </c>
    </row>
    <row r="80">
      <c r="G80" t="s">
        <v>167</v>
      </c>
      <c r="I80" t="s">
        <v>167</v>
      </c>
      <c r="K80" t="s">
        <v>167</v>
      </c>
      <c r="M80" t="s">
        <v>167</v>
      </c>
      <c r="O80" t="s">
        <v>167</v>
      </c>
      <c r="Q80" t="s">
        <v>167</v>
      </c>
      <c r="S80" t="s">
        <v>167</v>
      </c>
      <c r="U80" t="s">
        <v>167</v>
      </c>
      <c r="W80" t="s">
        <v>167</v>
      </c>
      <c r="Y80" t="s">
        <v>167</v>
      </c>
    </row>
    <row r="81">
      <c r="G81" t="s">
        <v>167</v>
      </c>
      <c r="I81" t="s">
        <v>167</v>
      </c>
      <c r="K81" t="s">
        <v>167</v>
      </c>
      <c r="M81" t="s">
        <v>167</v>
      </c>
      <c r="O81" t="s">
        <v>167</v>
      </c>
      <c r="Q81" t="s">
        <v>167</v>
      </c>
      <c r="S81" t="s">
        <v>167</v>
      </c>
      <c r="U81" t="s">
        <v>167</v>
      </c>
      <c r="W81" t="s">
        <v>167</v>
      </c>
      <c r="Y81" t="s">
        <v>167</v>
      </c>
    </row>
    <row r="82">
      <c r="G82" t="s">
        <v>167</v>
      </c>
      <c r="I82" t="s">
        <v>167</v>
      </c>
      <c r="K82" t="s">
        <v>167</v>
      </c>
      <c r="M82" t="s">
        <v>167</v>
      </c>
      <c r="O82" t="s">
        <v>167</v>
      </c>
      <c r="Q82" t="s">
        <v>167</v>
      </c>
      <c r="S82" t="s">
        <v>167</v>
      </c>
      <c r="U82" t="s">
        <v>167</v>
      </c>
      <c r="W82" t="s">
        <v>167</v>
      </c>
      <c r="Y82" t="s">
        <v>167</v>
      </c>
    </row>
    <row r="83">
      <c r="G83" t="s">
        <v>167</v>
      </c>
      <c r="I83" t="s">
        <v>167</v>
      </c>
      <c r="K83" t="s">
        <v>167</v>
      </c>
      <c r="M83" t="s">
        <v>167</v>
      </c>
      <c r="O83" t="s">
        <v>167</v>
      </c>
      <c r="Q83" t="s">
        <v>167</v>
      </c>
      <c r="S83" t="s">
        <v>167</v>
      </c>
      <c r="U83" t="s">
        <v>167</v>
      </c>
      <c r="W83" t="s">
        <v>167</v>
      </c>
      <c r="Y83" t="s">
        <v>167</v>
      </c>
    </row>
    <row r="84">
      <c r="G84" t="s">
        <v>167</v>
      </c>
      <c r="I84" t="s">
        <v>167</v>
      </c>
      <c r="K84" t="s">
        <v>167</v>
      </c>
      <c r="M84" t="s">
        <v>167</v>
      </c>
      <c r="O84" t="s">
        <v>167</v>
      </c>
      <c r="Q84" t="s">
        <v>167</v>
      </c>
      <c r="S84" t="s">
        <v>167</v>
      </c>
      <c r="U84" t="s">
        <v>167</v>
      </c>
      <c r="W84" t="s">
        <v>167</v>
      </c>
      <c r="Y84" t="s">
        <v>167</v>
      </c>
    </row>
    <row r="85">
      <c r="G85" t="s">
        <v>167</v>
      </c>
      <c r="I85" t="s">
        <v>167</v>
      </c>
      <c r="K85" t="s">
        <v>167</v>
      </c>
      <c r="M85" t="s">
        <v>167</v>
      </c>
      <c r="O85" t="s">
        <v>167</v>
      </c>
      <c r="Q85" t="s">
        <v>167</v>
      </c>
      <c r="S85" t="s">
        <v>167</v>
      </c>
      <c r="U85" t="s">
        <v>167</v>
      </c>
      <c r="W85" t="s">
        <v>167</v>
      </c>
      <c r="Y85" t="s">
        <v>167</v>
      </c>
    </row>
    <row r="86">
      <c r="G86" t="s">
        <v>167</v>
      </c>
      <c r="I86" t="s">
        <v>167</v>
      </c>
      <c r="K86" t="s">
        <v>167</v>
      </c>
      <c r="M86" t="s">
        <v>167</v>
      </c>
      <c r="O86" t="s">
        <v>167</v>
      </c>
      <c r="Q86" t="s">
        <v>167</v>
      </c>
      <c r="S86" t="s">
        <v>167</v>
      </c>
      <c r="U86" t="s">
        <v>167</v>
      </c>
      <c r="W86" t="s">
        <v>167</v>
      </c>
      <c r="Y86" t="s">
        <v>167</v>
      </c>
    </row>
    <row r="87">
      <c r="G87" t="s">
        <v>167</v>
      </c>
      <c r="I87" t="s">
        <v>167</v>
      </c>
      <c r="K87" t="s">
        <v>167</v>
      </c>
      <c r="M87" t="s">
        <v>167</v>
      </c>
      <c r="O87" t="s">
        <v>167</v>
      </c>
      <c r="Q87" t="s">
        <v>167</v>
      </c>
      <c r="S87" t="s">
        <v>167</v>
      </c>
      <c r="U87" t="s">
        <v>167</v>
      </c>
      <c r="W87" t="s">
        <v>167</v>
      </c>
      <c r="Y87" t="s">
        <v>167</v>
      </c>
    </row>
    <row r="88">
      <c r="G88" t="s">
        <v>167</v>
      </c>
      <c r="I88" t="s">
        <v>167</v>
      </c>
      <c r="K88" t="s">
        <v>167</v>
      </c>
      <c r="M88" t="s">
        <v>167</v>
      </c>
      <c r="O88" t="s">
        <v>167</v>
      </c>
      <c r="Q88" t="s">
        <v>167</v>
      </c>
      <c r="S88" t="s">
        <v>167</v>
      </c>
      <c r="U88" t="s">
        <v>167</v>
      </c>
      <c r="W88" t="s">
        <v>167</v>
      </c>
      <c r="Y88" t="s">
        <v>167</v>
      </c>
    </row>
    <row r="89">
      <c r="G89" t="s">
        <v>167</v>
      </c>
      <c r="I89" t="s">
        <v>167</v>
      </c>
      <c r="K89" t="s">
        <v>167</v>
      </c>
      <c r="M89" t="s">
        <v>167</v>
      </c>
      <c r="O89" t="s">
        <v>167</v>
      </c>
      <c r="Q89" t="s">
        <v>167</v>
      </c>
      <c r="S89" t="s">
        <v>167</v>
      </c>
      <c r="U89" t="s">
        <v>167</v>
      </c>
      <c r="W89" t="s">
        <v>167</v>
      </c>
      <c r="Y89" t="s">
        <v>167</v>
      </c>
    </row>
    <row r="90">
      <c r="G90" t="s">
        <v>167</v>
      </c>
      <c r="I90" t="s">
        <v>167</v>
      </c>
      <c r="K90" t="s">
        <v>167</v>
      </c>
      <c r="M90" t="s">
        <v>167</v>
      </c>
      <c r="O90" t="s">
        <v>167</v>
      </c>
      <c r="Q90" t="s">
        <v>167</v>
      </c>
      <c r="S90" t="s">
        <v>167</v>
      </c>
      <c r="U90" t="s">
        <v>167</v>
      </c>
      <c r="W90" t="s">
        <v>167</v>
      </c>
      <c r="Y90" t="s">
        <v>167</v>
      </c>
    </row>
    <row r="91">
      <c r="G91" t="s">
        <v>167</v>
      </c>
      <c r="I91" t="s">
        <v>167</v>
      </c>
      <c r="K91" t="s">
        <v>167</v>
      </c>
      <c r="M91" t="s">
        <v>167</v>
      </c>
      <c r="O91" t="s">
        <v>167</v>
      </c>
      <c r="Q91" t="s">
        <v>167</v>
      </c>
      <c r="S91" t="s">
        <v>167</v>
      </c>
      <c r="U91" t="s">
        <v>167</v>
      </c>
      <c r="W91" t="s">
        <v>167</v>
      </c>
      <c r="Y91" t="s">
        <v>167</v>
      </c>
    </row>
    <row r="92">
      <c r="G92" t="s">
        <v>167</v>
      </c>
      <c r="I92" t="s">
        <v>167</v>
      </c>
      <c r="K92" t="s">
        <v>167</v>
      </c>
      <c r="M92" t="s">
        <v>167</v>
      </c>
      <c r="O92" t="s">
        <v>167</v>
      </c>
      <c r="Q92" t="s">
        <v>167</v>
      </c>
      <c r="S92" t="s">
        <v>167</v>
      </c>
      <c r="U92" t="s">
        <v>167</v>
      </c>
      <c r="W92" t="s">
        <v>167</v>
      </c>
      <c r="Y92" t="s">
        <v>167</v>
      </c>
    </row>
    <row r="93">
      <c r="G93" t="s">
        <v>167</v>
      </c>
      <c r="I93" t="s">
        <v>167</v>
      </c>
      <c r="K93" t="s">
        <v>167</v>
      </c>
      <c r="M93" t="s">
        <v>167</v>
      </c>
      <c r="O93" t="s">
        <v>167</v>
      </c>
      <c r="Q93" t="s">
        <v>167</v>
      </c>
      <c r="S93" t="s">
        <v>167</v>
      </c>
      <c r="U93" t="s">
        <v>167</v>
      </c>
      <c r="W93" t="s">
        <v>167</v>
      </c>
      <c r="Y93" t="s">
        <v>167</v>
      </c>
    </row>
    <row r="94">
      <c r="G94" t="s">
        <v>167</v>
      </c>
      <c r="I94" t="s">
        <v>167</v>
      </c>
      <c r="K94" t="s">
        <v>167</v>
      </c>
      <c r="M94" t="s">
        <v>167</v>
      </c>
      <c r="O94" t="s">
        <v>167</v>
      </c>
      <c r="Q94" t="s">
        <v>167</v>
      </c>
      <c r="S94" t="s">
        <v>167</v>
      </c>
      <c r="U94" t="s">
        <v>167</v>
      </c>
      <c r="W94" t="s">
        <v>167</v>
      </c>
      <c r="Y94" t="s">
        <v>167</v>
      </c>
    </row>
    <row r="95">
      <c r="G95" t="s">
        <v>167</v>
      </c>
      <c r="I95" t="s">
        <v>167</v>
      </c>
      <c r="K95" t="s">
        <v>167</v>
      </c>
      <c r="M95" t="s">
        <v>167</v>
      </c>
      <c r="O95" t="s">
        <v>167</v>
      </c>
      <c r="Q95" t="s">
        <v>167</v>
      </c>
      <c r="S95" t="s">
        <v>167</v>
      </c>
      <c r="U95" t="s">
        <v>167</v>
      </c>
      <c r="W95" t="s">
        <v>167</v>
      </c>
      <c r="Y95" t="s">
        <v>167</v>
      </c>
    </row>
    <row r="96">
      <c r="G96" t="s">
        <v>167</v>
      </c>
      <c r="I96" t="s">
        <v>167</v>
      </c>
      <c r="K96" t="s">
        <v>167</v>
      </c>
      <c r="M96" t="s">
        <v>167</v>
      </c>
      <c r="O96" t="s">
        <v>167</v>
      </c>
      <c r="Q96" t="s">
        <v>167</v>
      </c>
      <c r="S96" t="s">
        <v>167</v>
      </c>
      <c r="U96" t="s">
        <v>167</v>
      </c>
      <c r="W96" t="s">
        <v>167</v>
      </c>
      <c r="Y96" t="s">
        <v>167</v>
      </c>
    </row>
    <row r="97">
      <c r="G97" t="s">
        <v>167</v>
      </c>
      <c r="I97" t="s">
        <v>167</v>
      </c>
      <c r="K97" t="s">
        <v>167</v>
      </c>
      <c r="M97" t="s">
        <v>167</v>
      </c>
      <c r="O97" t="s">
        <v>167</v>
      </c>
      <c r="Q97" t="s">
        <v>167</v>
      </c>
      <c r="S97" t="s">
        <v>167</v>
      </c>
      <c r="U97" t="s">
        <v>167</v>
      </c>
      <c r="W97" t="s">
        <v>167</v>
      </c>
      <c r="Y97" t="s">
        <v>167</v>
      </c>
    </row>
    <row r="98">
      <c r="G98" t="s">
        <v>167</v>
      </c>
      <c r="I98" t="s">
        <v>167</v>
      </c>
      <c r="K98" t="s">
        <v>167</v>
      </c>
      <c r="M98" t="s">
        <v>167</v>
      </c>
      <c r="O98" t="s">
        <v>167</v>
      </c>
      <c r="Q98" t="s">
        <v>167</v>
      </c>
      <c r="S98" t="s">
        <v>167</v>
      </c>
      <c r="U98" t="s">
        <v>167</v>
      </c>
      <c r="W98" t="s">
        <v>167</v>
      </c>
      <c r="Y98" t="s">
        <v>167</v>
      </c>
    </row>
    <row r="99">
      <c r="G99" t="s">
        <v>167</v>
      </c>
      <c r="I99" t="s">
        <v>167</v>
      </c>
      <c r="K99" t="s">
        <v>167</v>
      </c>
      <c r="M99" t="s">
        <v>167</v>
      </c>
      <c r="O99" t="s">
        <v>167</v>
      </c>
      <c r="Q99" t="s">
        <v>167</v>
      </c>
      <c r="S99" t="s">
        <v>167</v>
      </c>
      <c r="U99" t="s">
        <v>167</v>
      </c>
      <c r="W99" t="s">
        <v>167</v>
      </c>
      <c r="Y99" t="s">
        <v>167</v>
      </c>
    </row>
    <row r="100">
      <c r="G100" t="s">
        <v>167</v>
      </c>
      <c r="I100" t="s">
        <v>167</v>
      </c>
      <c r="K100" t="s">
        <v>167</v>
      </c>
      <c r="M100" t="s">
        <v>167</v>
      </c>
      <c r="O100" t="s">
        <v>167</v>
      </c>
      <c r="Q100" t="s">
        <v>167</v>
      </c>
      <c r="S100" t="s">
        <v>167</v>
      </c>
      <c r="U100" t="s">
        <v>167</v>
      </c>
      <c r="W100" t="s">
        <v>167</v>
      </c>
      <c r="Y100" t="s">
        <v>167</v>
      </c>
    </row>
    <row r="101">
      <c r="G101" t="s">
        <v>167</v>
      </c>
      <c r="I101" t="s">
        <v>167</v>
      </c>
      <c r="K101" t="s">
        <v>167</v>
      </c>
      <c r="M101" t="s">
        <v>167</v>
      </c>
      <c r="O101" t="s">
        <v>167</v>
      </c>
      <c r="Q101" t="s">
        <v>167</v>
      </c>
      <c r="S101" t="s">
        <v>167</v>
      </c>
      <c r="U101" t="s">
        <v>167</v>
      </c>
      <c r="W101" t="s">
        <v>167</v>
      </c>
      <c r="Y101" t="s">
        <v>167</v>
      </c>
    </row>
    <row r="102">
      <c r="G102" t="s">
        <v>167</v>
      </c>
      <c r="I102" t="s">
        <v>167</v>
      </c>
      <c r="K102" t="s">
        <v>167</v>
      </c>
      <c r="M102" t="s">
        <v>167</v>
      </c>
      <c r="O102" t="s">
        <v>167</v>
      </c>
      <c r="Q102" t="s">
        <v>167</v>
      </c>
      <c r="S102" t="s">
        <v>167</v>
      </c>
      <c r="U102" t="s">
        <v>167</v>
      </c>
      <c r="W102" t="s">
        <v>167</v>
      </c>
      <c r="Y102" t="s">
        <v>167</v>
      </c>
    </row>
    <row r="103">
      <c r="G103" t="s">
        <v>167</v>
      </c>
      <c r="I103" t="s">
        <v>167</v>
      </c>
      <c r="K103" t="s">
        <v>167</v>
      </c>
      <c r="M103" t="s">
        <v>167</v>
      </c>
      <c r="O103" t="s">
        <v>167</v>
      </c>
      <c r="Q103" t="s">
        <v>167</v>
      </c>
      <c r="S103" t="s">
        <v>167</v>
      </c>
      <c r="U103" t="s">
        <v>167</v>
      </c>
      <c r="W103" t="s">
        <v>167</v>
      </c>
      <c r="Y103" t="s">
        <v>167</v>
      </c>
    </row>
    <row r="104">
      <c r="G104" t="s">
        <v>167</v>
      </c>
      <c r="I104" t="s">
        <v>167</v>
      </c>
      <c r="K104" t="s">
        <v>167</v>
      </c>
      <c r="M104" t="s">
        <v>167</v>
      </c>
      <c r="O104" t="s">
        <v>167</v>
      </c>
      <c r="Q104" t="s">
        <v>167</v>
      </c>
      <c r="S104" t="s">
        <v>167</v>
      </c>
      <c r="U104" t="s">
        <v>167</v>
      </c>
      <c r="W104" t="s">
        <v>167</v>
      </c>
      <c r="Y104" t="s">
        <v>167</v>
      </c>
    </row>
    <row r="105">
      <c r="G105" t="s">
        <v>167</v>
      </c>
      <c r="I105" t="s">
        <v>167</v>
      </c>
      <c r="K105" t="s">
        <v>167</v>
      </c>
      <c r="M105" t="s">
        <v>167</v>
      </c>
      <c r="O105" t="s">
        <v>167</v>
      </c>
      <c r="Q105" t="s">
        <v>167</v>
      </c>
      <c r="S105" t="s">
        <v>167</v>
      </c>
      <c r="U105" t="s">
        <v>167</v>
      </c>
      <c r="W105" t="s">
        <v>167</v>
      </c>
      <c r="Y105" t="s">
        <v>167</v>
      </c>
    </row>
    <row r="106">
      <c r="G106" t="s">
        <v>167</v>
      </c>
      <c r="I106" t="s">
        <v>167</v>
      </c>
      <c r="K106" t="s">
        <v>167</v>
      </c>
      <c r="M106" t="s">
        <v>167</v>
      </c>
      <c r="O106" t="s">
        <v>167</v>
      </c>
      <c r="Q106" t="s">
        <v>167</v>
      </c>
      <c r="S106" t="s">
        <v>167</v>
      </c>
      <c r="U106" t="s">
        <v>167</v>
      </c>
      <c r="W106" t="s">
        <v>167</v>
      </c>
      <c r="Y106" t="s">
        <v>167</v>
      </c>
    </row>
    <row r="107">
      <c r="G107" t="s">
        <v>167</v>
      </c>
      <c r="I107" t="s">
        <v>167</v>
      </c>
      <c r="K107" t="s">
        <v>167</v>
      </c>
      <c r="M107" t="s">
        <v>167</v>
      </c>
      <c r="O107" t="s">
        <v>167</v>
      </c>
      <c r="Q107" t="s">
        <v>167</v>
      </c>
      <c r="S107" t="s">
        <v>167</v>
      </c>
      <c r="U107" t="s">
        <v>167</v>
      </c>
      <c r="W107" t="s">
        <v>167</v>
      </c>
      <c r="Y107" t="s">
        <v>167</v>
      </c>
    </row>
    <row r="108">
      <c r="G108" t="s">
        <v>167</v>
      </c>
      <c r="I108" t="s">
        <v>167</v>
      </c>
      <c r="K108" t="s">
        <v>167</v>
      </c>
      <c r="M108" t="s">
        <v>167</v>
      </c>
      <c r="O108" t="s">
        <v>167</v>
      </c>
      <c r="Q108" t="s">
        <v>167</v>
      </c>
      <c r="S108" t="s">
        <v>167</v>
      </c>
      <c r="U108" t="s">
        <v>167</v>
      </c>
      <c r="W108" t="s">
        <v>167</v>
      </c>
      <c r="Y108" t="s">
        <v>167</v>
      </c>
    </row>
    <row r="109">
      <c r="G109" t="s">
        <v>167</v>
      </c>
      <c r="I109" t="s">
        <v>167</v>
      </c>
      <c r="K109" t="s">
        <v>167</v>
      </c>
      <c r="M109" t="s">
        <v>167</v>
      </c>
      <c r="O109" t="s">
        <v>167</v>
      </c>
      <c r="Q109" t="s">
        <v>167</v>
      </c>
      <c r="S109" t="s">
        <v>167</v>
      </c>
      <c r="U109" t="s">
        <v>167</v>
      </c>
      <c r="W109" t="s">
        <v>167</v>
      </c>
      <c r="Y109" t="s">
        <v>167</v>
      </c>
    </row>
    <row r="110">
      <c r="G110" t="s">
        <v>167</v>
      </c>
      <c r="I110" t="s">
        <v>167</v>
      </c>
      <c r="K110" t="s">
        <v>167</v>
      </c>
      <c r="M110" t="s">
        <v>167</v>
      </c>
      <c r="O110" t="s">
        <v>167</v>
      </c>
      <c r="Q110" t="s">
        <v>167</v>
      </c>
      <c r="S110" t="s">
        <v>167</v>
      </c>
      <c r="U110" t="s">
        <v>167</v>
      </c>
      <c r="W110" t="s">
        <v>167</v>
      </c>
      <c r="Y110" t="s">
        <v>167</v>
      </c>
    </row>
    <row r="111">
      <c r="G111" t="s">
        <v>167</v>
      </c>
      <c r="I111" t="s">
        <v>167</v>
      </c>
      <c r="K111" t="s">
        <v>167</v>
      </c>
      <c r="M111" t="s">
        <v>167</v>
      </c>
      <c r="O111" t="s">
        <v>167</v>
      </c>
      <c r="Q111" t="s">
        <v>167</v>
      </c>
      <c r="S111" t="s">
        <v>167</v>
      </c>
      <c r="U111" t="s">
        <v>167</v>
      </c>
      <c r="W111" t="s">
        <v>167</v>
      </c>
      <c r="Y111" t="s">
        <v>167</v>
      </c>
    </row>
    <row r="112">
      <c r="G112" t="s">
        <v>167</v>
      </c>
      <c r="I112" t="s">
        <v>167</v>
      </c>
      <c r="K112" t="s">
        <v>167</v>
      </c>
      <c r="M112" t="s">
        <v>167</v>
      </c>
      <c r="O112" t="s">
        <v>167</v>
      </c>
      <c r="Q112" t="s">
        <v>167</v>
      </c>
      <c r="S112" t="s">
        <v>167</v>
      </c>
      <c r="U112" t="s">
        <v>167</v>
      </c>
      <c r="W112" t="s">
        <v>167</v>
      </c>
      <c r="Y112" t="s">
        <v>167</v>
      </c>
    </row>
    <row r="113">
      <c r="G113" t="s">
        <v>167</v>
      </c>
      <c r="I113" t="s">
        <v>167</v>
      </c>
      <c r="K113" t="s">
        <v>167</v>
      </c>
      <c r="M113" t="s">
        <v>167</v>
      </c>
      <c r="O113" t="s">
        <v>167</v>
      </c>
      <c r="Q113" t="s">
        <v>167</v>
      </c>
      <c r="S113" t="s">
        <v>167</v>
      </c>
      <c r="U113" t="s">
        <v>167</v>
      </c>
      <c r="W113" t="s">
        <v>167</v>
      </c>
      <c r="Y113" t="s">
        <v>167</v>
      </c>
    </row>
    <row r="114">
      <c r="G114" t="s">
        <v>167</v>
      </c>
      <c r="I114" t="s">
        <v>167</v>
      </c>
      <c r="K114" t="s">
        <v>167</v>
      </c>
      <c r="M114" t="s">
        <v>167</v>
      </c>
      <c r="O114" t="s">
        <v>167</v>
      </c>
      <c r="Q114" t="s">
        <v>167</v>
      </c>
      <c r="S114" t="s">
        <v>167</v>
      </c>
      <c r="U114" t="s">
        <v>167</v>
      </c>
      <c r="W114" t="s">
        <v>167</v>
      </c>
      <c r="Y114" t="s">
        <v>167</v>
      </c>
    </row>
    <row r="115">
      <c r="G115" t="s">
        <v>167</v>
      </c>
      <c r="I115" t="s">
        <v>167</v>
      </c>
      <c r="K115" t="s">
        <v>167</v>
      </c>
      <c r="M115" t="s">
        <v>167</v>
      </c>
      <c r="O115" t="s">
        <v>167</v>
      </c>
      <c r="Q115" t="s">
        <v>167</v>
      </c>
      <c r="S115" t="s">
        <v>167</v>
      </c>
      <c r="U115" t="s">
        <v>167</v>
      </c>
      <c r="W115" t="s">
        <v>167</v>
      </c>
      <c r="Y115" t="s">
        <v>167</v>
      </c>
    </row>
    <row r="116">
      <c r="G116" t="s">
        <v>167</v>
      </c>
      <c r="I116" t="s">
        <v>167</v>
      </c>
      <c r="K116" t="s">
        <v>167</v>
      </c>
      <c r="M116" t="s">
        <v>167</v>
      </c>
      <c r="O116" t="s">
        <v>167</v>
      </c>
      <c r="Q116" t="s">
        <v>167</v>
      </c>
      <c r="S116" t="s">
        <v>167</v>
      </c>
      <c r="U116" t="s">
        <v>167</v>
      </c>
      <c r="W116" t="s">
        <v>167</v>
      </c>
      <c r="Y116" t="s">
        <v>167</v>
      </c>
    </row>
    <row r="117">
      <c r="G117" t="s">
        <v>167</v>
      </c>
      <c r="I117" t="s">
        <v>167</v>
      </c>
      <c r="K117" t="s">
        <v>167</v>
      </c>
      <c r="M117" t="s">
        <v>167</v>
      </c>
      <c r="O117" t="s">
        <v>167</v>
      </c>
      <c r="Q117" t="s">
        <v>167</v>
      </c>
      <c r="S117" t="s">
        <v>167</v>
      </c>
      <c r="U117" t="s">
        <v>167</v>
      </c>
      <c r="W117" t="s">
        <v>167</v>
      </c>
      <c r="Y117" t="s">
        <v>167</v>
      </c>
    </row>
    <row r="118">
      <c r="G118" t="s">
        <v>167</v>
      </c>
      <c r="I118" t="s">
        <v>167</v>
      </c>
      <c r="K118" t="s">
        <v>167</v>
      </c>
      <c r="M118" t="s">
        <v>167</v>
      </c>
      <c r="O118" t="s">
        <v>167</v>
      </c>
      <c r="Q118" t="s">
        <v>167</v>
      </c>
      <c r="S118" t="s">
        <v>167</v>
      </c>
      <c r="U118" t="s">
        <v>167</v>
      </c>
      <c r="W118" t="s">
        <v>167</v>
      </c>
      <c r="Y118" t="s">
        <v>167</v>
      </c>
    </row>
    <row r="119">
      <c r="G119" t="s">
        <v>167</v>
      </c>
      <c r="I119" t="s">
        <v>167</v>
      </c>
      <c r="K119" t="s">
        <v>167</v>
      </c>
      <c r="M119" t="s">
        <v>167</v>
      </c>
      <c r="O119" t="s">
        <v>167</v>
      </c>
      <c r="Q119" t="s">
        <v>167</v>
      </c>
      <c r="S119" t="s">
        <v>167</v>
      </c>
      <c r="U119" t="s">
        <v>167</v>
      </c>
      <c r="W119" t="s">
        <v>167</v>
      </c>
      <c r="Y119" t="s">
        <v>167</v>
      </c>
    </row>
    <row r="120">
      <c r="G120" t="s">
        <v>167</v>
      </c>
      <c r="I120" t="s">
        <v>167</v>
      </c>
      <c r="K120" t="s">
        <v>167</v>
      </c>
      <c r="M120" t="s">
        <v>167</v>
      </c>
      <c r="O120" t="s">
        <v>167</v>
      </c>
      <c r="Q120" t="s">
        <v>167</v>
      </c>
      <c r="S120" t="s">
        <v>167</v>
      </c>
      <c r="U120" t="s">
        <v>167</v>
      </c>
      <c r="W120" t="s">
        <v>167</v>
      </c>
      <c r="Y120" t="s">
        <v>167</v>
      </c>
    </row>
    <row r="121">
      <c r="G121" t="s">
        <v>167</v>
      </c>
      <c r="I121" t="s">
        <v>167</v>
      </c>
      <c r="K121" t="s">
        <v>167</v>
      </c>
      <c r="M121" t="s">
        <v>167</v>
      </c>
      <c r="O121" t="s">
        <v>167</v>
      </c>
      <c r="Q121" t="s">
        <v>167</v>
      </c>
      <c r="S121" t="s">
        <v>167</v>
      </c>
      <c r="U121" t="s">
        <v>167</v>
      </c>
      <c r="W121" t="s">
        <v>167</v>
      </c>
      <c r="Y121" t="s">
        <v>167</v>
      </c>
    </row>
    <row r="122">
      <c r="G122" t="s">
        <v>167</v>
      </c>
      <c r="I122" t="s">
        <v>167</v>
      </c>
      <c r="K122" t="s">
        <v>167</v>
      </c>
      <c r="M122" t="s">
        <v>167</v>
      </c>
      <c r="O122" t="s">
        <v>167</v>
      </c>
      <c r="Q122" t="s">
        <v>167</v>
      </c>
      <c r="S122" t="s">
        <v>167</v>
      </c>
      <c r="U122" t="s">
        <v>167</v>
      </c>
      <c r="W122" t="s">
        <v>167</v>
      </c>
      <c r="Y122" t="s">
        <v>167</v>
      </c>
    </row>
    <row r="123">
      <c r="G123" t="s">
        <v>167</v>
      </c>
      <c r="I123" t="s">
        <v>167</v>
      </c>
      <c r="K123" t="s">
        <v>167</v>
      </c>
      <c r="M123" t="s">
        <v>167</v>
      </c>
      <c r="O123" t="s">
        <v>167</v>
      </c>
      <c r="Q123" t="s">
        <v>167</v>
      </c>
      <c r="S123" t="s">
        <v>167</v>
      </c>
      <c r="U123" t="s">
        <v>167</v>
      </c>
      <c r="W123" t="s">
        <v>167</v>
      </c>
      <c r="Y123" t="s">
        <v>167</v>
      </c>
    </row>
    <row r="124">
      <c r="G124" t="s">
        <v>167</v>
      </c>
      <c r="I124" t="s">
        <v>167</v>
      </c>
      <c r="K124" t="s">
        <v>167</v>
      </c>
      <c r="M124" t="s">
        <v>167</v>
      </c>
      <c r="O124" t="s">
        <v>167</v>
      </c>
      <c r="Q124" t="s">
        <v>167</v>
      </c>
      <c r="S124" t="s">
        <v>167</v>
      </c>
      <c r="U124" t="s">
        <v>167</v>
      </c>
      <c r="W124" t="s">
        <v>167</v>
      </c>
      <c r="Y124" t="s">
        <v>167</v>
      </c>
    </row>
    <row r="125">
      <c r="G125" t="s">
        <v>167</v>
      </c>
      <c r="I125" t="s">
        <v>167</v>
      </c>
      <c r="K125" t="s">
        <v>167</v>
      </c>
      <c r="M125" t="s">
        <v>167</v>
      </c>
      <c r="O125" t="s">
        <v>167</v>
      </c>
      <c r="Q125" t="s">
        <v>167</v>
      </c>
      <c r="S125" t="s">
        <v>167</v>
      </c>
      <c r="U125" t="s">
        <v>167</v>
      </c>
      <c r="W125" t="s">
        <v>167</v>
      </c>
      <c r="Y125" t="s">
        <v>167</v>
      </c>
    </row>
    <row r="126">
      <c r="G126" t="s">
        <v>167</v>
      </c>
      <c r="I126" t="s">
        <v>167</v>
      </c>
      <c r="K126" t="s">
        <v>167</v>
      </c>
      <c r="M126" t="s">
        <v>167</v>
      </c>
      <c r="O126" t="s">
        <v>167</v>
      </c>
      <c r="Q126" t="s">
        <v>167</v>
      </c>
      <c r="S126" t="s">
        <v>167</v>
      </c>
      <c r="U126" t="s">
        <v>167</v>
      </c>
      <c r="W126" t="s">
        <v>167</v>
      </c>
      <c r="Y126" t="s">
        <v>167</v>
      </c>
    </row>
    <row r="127">
      <c r="G127" t="s">
        <v>167</v>
      </c>
      <c r="I127" t="s">
        <v>167</v>
      </c>
      <c r="K127" t="s">
        <v>167</v>
      </c>
      <c r="M127" t="s">
        <v>167</v>
      </c>
      <c r="O127" t="s">
        <v>167</v>
      </c>
      <c r="Q127" t="s">
        <v>167</v>
      </c>
      <c r="S127" t="s">
        <v>167</v>
      </c>
      <c r="U127" t="s">
        <v>167</v>
      </c>
      <c r="W127" t="s">
        <v>167</v>
      </c>
      <c r="Y127" t="s">
        <v>167</v>
      </c>
    </row>
    <row r="128">
      <c r="G128" t="s">
        <v>167</v>
      </c>
      <c r="I128" t="s">
        <v>167</v>
      </c>
      <c r="K128" t="s">
        <v>167</v>
      </c>
      <c r="M128" t="s">
        <v>167</v>
      </c>
      <c r="O128" t="s">
        <v>167</v>
      </c>
      <c r="Q128" t="s">
        <v>167</v>
      </c>
      <c r="S128" t="s">
        <v>167</v>
      </c>
      <c r="U128" t="s">
        <v>167</v>
      </c>
      <c r="W128" t="s">
        <v>167</v>
      </c>
      <c r="Y128" t="s">
        <v>167</v>
      </c>
    </row>
    <row r="129">
      <c r="G129" t="s">
        <v>167</v>
      </c>
      <c r="I129" t="s">
        <v>167</v>
      </c>
      <c r="K129" t="s">
        <v>167</v>
      </c>
      <c r="M129" t="s">
        <v>167</v>
      </c>
      <c r="O129" t="s">
        <v>167</v>
      </c>
      <c r="Q129" t="s">
        <v>167</v>
      </c>
      <c r="S129" t="s">
        <v>167</v>
      </c>
      <c r="U129" t="s">
        <v>167</v>
      </c>
      <c r="W129" t="s">
        <v>167</v>
      </c>
      <c r="Y129" t="s">
        <v>167</v>
      </c>
    </row>
    <row r="130">
      <c r="G130" t="s">
        <v>167</v>
      </c>
      <c r="I130" t="s">
        <v>167</v>
      </c>
      <c r="K130" t="s">
        <v>167</v>
      </c>
      <c r="M130" t="s">
        <v>167</v>
      </c>
      <c r="O130" t="s">
        <v>167</v>
      </c>
      <c r="Q130" t="s">
        <v>167</v>
      </c>
      <c r="S130" t="s">
        <v>167</v>
      </c>
      <c r="U130" t="s">
        <v>167</v>
      </c>
      <c r="W130" t="s">
        <v>167</v>
      </c>
      <c r="Y130" t="s">
        <v>167</v>
      </c>
    </row>
    <row r="131">
      <c r="G131" t="s">
        <v>167</v>
      </c>
      <c r="I131" t="s">
        <v>167</v>
      </c>
      <c r="K131" t="s">
        <v>167</v>
      </c>
      <c r="M131" t="s">
        <v>167</v>
      </c>
      <c r="O131" t="s">
        <v>167</v>
      </c>
      <c r="Q131" t="s">
        <v>167</v>
      </c>
      <c r="S131" t="s">
        <v>167</v>
      </c>
      <c r="U131" t="s">
        <v>167</v>
      </c>
      <c r="W131" t="s">
        <v>167</v>
      </c>
      <c r="Y131" t="s">
        <v>167</v>
      </c>
    </row>
    <row r="132">
      <c r="G132" t="s">
        <v>167</v>
      </c>
      <c r="I132" t="s">
        <v>167</v>
      </c>
      <c r="K132" t="s">
        <v>167</v>
      </c>
      <c r="M132" t="s">
        <v>167</v>
      </c>
      <c r="O132" t="s">
        <v>167</v>
      </c>
      <c r="Q132" t="s">
        <v>167</v>
      </c>
      <c r="S132" t="s">
        <v>167</v>
      </c>
      <c r="U132" t="s">
        <v>167</v>
      </c>
      <c r="W132" t="s">
        <v>167</v>
      </c>
      <c r="Y132" t="s">
        <v>167</v>
      </c>
    </row>
    <row r="133">
      <c r="G133" t="s">
        <v>167</v>
      </c>
      <c r="I133" t="s">
        <v>167</v>
      </c>
      <c r="K133" t="s">
        <v>167</v>
      </c>
      <c r="M133" t="s">
        <v>167</v>
      </c>
      <c r="O133" t="s">
        <v>167</v>
      </c>
      <c r="Q133" t="s">
        <v>167</v>
      </c>
      <c r="S133" t="s">
        <v>167</v>
      </c>
      <c r="U133" t="s">
        <v>167</v>
      </c>
      <c r="W133" t="s">
        <v>167</v>
      </c>
      <c r="Y133" t="s">
        <v>167</v>
      </c>
    </row>
    <row r="134">
      <c r="G134" t="s">
        <v>167</v>
      </c>
      <c r="I134" t="s">
        <v>167</v>
      </c>
      <c r="K134" t="s">
        <v>167</v>
      </c>
      <c r="M134" t="s">
        <v>167</v>
      </c>
      <c r="O134" t="s">
        <v>167</v>
      </c>
      <c r="Q134" t="s">
        <v>167</v>
      </c>
      <c r="S134" t="s">
        <v>167</v>
      </c>
      <c r="U134" t="s">
        <v>167</v>
      </c>
      <c r="W134" t="s">
        <v>167</v>
      </c>
      <c r="Y134" t="s">
        <v>167</v>
      </c>
    </row>
    <row r="135">
      <c r="G135" t="s">
        <v>167</v>
      </c>
      <c r="I135" t="s">
        <v>167</v>
      </c>
      <c r="K135" t="s">
        <v>167</v>
      </c>
      <c r="M135" t="s">
        <v>167</v>
      </c>
      <c r="O135" t="s">
        <v>167</v>
      </c>
      <c r="Q135" t="s">
        <v>167</v>
      </c>
      <c r="S135" t="s">
        <v>167</v>
      </c>
      <c r="U135" t="s">
        <v>167</v>
      </c>
      <c r="W135" t="s">
        <v>167</v>
      </c>
      <c r="Y135" t="s">
        <v>167</v>
      </c>
    </row>
    <row r="136">
      <c r="G136" t="s">
        <v>167</v>
      </c>
      <c r="I136" t="s">
        <v>167</v>
      </c>
      <c r="K136" t="s">
        <v>167</v>
      </c>
      <c r="M136" t="s">
        <v>167</v>
      </c>
      <c r="O136" t="s">
        <v>167</v>
      </c>
      <c r="Q136" t="s">
        <v>167</v>
      </c>
      <c r="S136" t="s">
        <v>167</v>
      </c>
      <c r="U136" t="s">
        <v>167</v>
      </c>
      <c r="W136" t="s">
        <v>167</v>
      </c>
      <c r="Y136" t="s">
        <v>167</v>
      </c>
    </row>
    <row r="137">
      <c r="G137" t="s">
        <v>167</v>
      </c>
      <c r="I137" t="s">
        <v>167</v>
      </c>
      <c r="K137" t="s">
        <v>167</v>
      </c>
      <c r="M137" t="s">
        <v>167</v>
      </c>
      <c r="O137" t="s">
        <v>167</v>
      </c>
      <c r="Q137" t="s">
        <v>167</v>
      </c>
      <c r="S137" t="s">
        <v>167</v>
      </c>
      <c r="U137" t="s">
        <v>167</v>
      </c>
      <c r="W137" t="s">
        <v>167</v>
      </c>
      <c r="Y137" t="s">
        <v>167</v>
      </c>
    </row>
    <row r="138">
      <c r="G138" t="s">
        <v>167</v>
      </c>
      <c r="I138" t="s">
        <v>167</v>
      </c>
      <c r="K138" t="s">
        <v>167</v>
      </c>
      <c r="M138" t="s">
        <v>167</v>
      </c>
      <c r="O138" t="s">
        <v>167</v>
      </c>
      <c r="Q138" t="s">
        <v>167</v>
      </c>
      <c r="S138" t="s">
        <v>167</v>
      </c>
      <c r="U138" t="s">
        <v>167</v>
      </c>
      <c r="W138" t="s">
        <v>167</v>
      </c>
      <c r="Y138" t="s">
        <v>167</v>
      </c>
    </row>
    <row r="139">
      <c r="G139" t="s">
        <v>167</v>
      </c>
      <c r="I139" t="s">
        <v>167</v>
      </c>
      <c r="K139" t="s">
        <v>167</v>
      </c>
      <c r="M139" t="s">
        <v>167</v>
      </c>
      <c r="O139" t="s">
        <v>167</v>
      </c>
      <c r="Q139" t="s">
        <v>167</v>
      </c>
      <c r="S139" t="s">
        <v>167</v>
      </c>
      <c r="U139" t="s">
        <v>167</v>
      </c>
      <c r="W139" t="s">
        <v>167</v>
      </c>
      <c r="Y139" t="s">
        <v>167</v>
      </c>
    </row>
    <row r="140">
      <c r="G140" t="s">
        <v>167</v>
      </c>
      <c r="I140" t="s">
        <v>167</v>
      </c>
      <c r="K140" t="s">
        <v>167</v>
      </c>
      <c r="M140" t="s">
        <v>167</v>
      </c>
      <c r="O140" t="s">
        <v>167</v>
      </c>
      <c r="Q140" t="s">
        <v>167</v>
      </c>
      <c r="S140" t="s">
        <v>167</v>
      </c>
      <c r="U140" t="s">
        <v>167</v>
      </c>
      <c r="W140" t="s">
        <v>167</v>
      </c>
      <c r="Y140" t="s">
        <v>167</v>
      </c>
    </row>
    <row r="141">
      <c r="G141" t="s">
        <v>167</v>
      </c>
      <c r="I141" t="s">
        <v>167</v>
      </c>
      <c r="K141" t="s">
        <v>167</v>
      </c>
      <c r="M141" t="s">
        <v>167</v>
      </c>
      <c r="O141" t="s">
        <v>167</v>
      </c>
      <c r="Q141" t="s">
        <v>167</v>
      </c>
      <c r="S141" t="s">
        <v>167</v>
      </c>
      <c r="U141" t="s">
        <v>167</v>
      </c>
      <c r="W141" t="s">
        <v>167</v>
      </c>
      <c r="Y141" t="s">
        <v>167</v>
      </c>
    </row>
    <row r="142">
      <c r="G142" t="s">
        <v>167</v>
      </c>
      <c r="I142" t="s">
        <v>167</v>
      </c>
      <c r="K142" t="s">
        <v>167</v>
      </c>
      <c r="M142" t="s">
        <v>167</v>
      </c>
      <c r="O142" t="s">
        <v>167</v>
      </c>
      <c r="Q142" t="s">
        <v>167</v>
      </c>
      <c r="S142" t="s">
        <v>167</v>
      </c>
      <c r="U142" t="s">
        <v>167</v>
      </c>
      <c r="W142" t="s">
        <v>167</v>
      </c>
      <c r="Y142" t="s">
        <v>167</v>
      </c>
    </row>
    <row r="143">
      <c r="G143" t="s">
        <v>167</v>
      </c>
      <c r="I143" t="s">
        <v>167</v>
      </c>
      <c r="K143" t="s">
        <v>167</v>
      </c>
      <c r="M143" t="s">
        <v>167</v>
      </c>
      <c r="O143" t="s">
        <v>167</v>
      </c>
      <c r="Q143" t="s">
        <v>167</v>
      </c>
      <c r="S143" t="s">
        <v>167</v>
      </c>
      <c r="U143" t="s">
        <v>167</v>
      </c>
      <c r="W143" t="s">
        <v>167</v>
      </c>
      <c r="Y143" t="s">
        <v>167</v>
      </c>
    </row>
    <row r="144">
      <c r="G144" t="s">
        <v>167</v>
      </c>
      <c r="I144" t="s">
        <v>167</v>
      </c>
      <c r="K144" t="s">
        <v>167</v>
      </c>
      <c r="M144" t="s">
        <v>167</v>
      </c>
      <c r="O144" t="s">
        <v>167</v>
      </c>
      <c r="Q144" t="s">
        <v>167</v>
      </c>
      <c r="S144" t="s">
        <v>167</v>
      </c>
      <c r="U144" t="s">
        <v>167</v>
      </c>
      <c r="W144" t="s">
        <v>167</v>
      </c>
      <c r="Y144" t="s">
        <v>167</v>
      </c>
    </row>
    <row r="145">
      <c r="G145" t="s">
        <v>167</v>
      </c>
      <c r="I145" t="s">
        <v>167</v>
      </c>
      <c r="K145" t="s">
        <v>167</v>
      </c>
      <c r="M145" t="s">
        <v>167</v>
      </c>
      <c r="O145" t="s">
        <v>167</v>
      </c>
      <c r="Q145" t="s">
        <v>167</v>
      </c>
      <c r="S145" t="s">
        <v>167</v>
      </c>
      <c r="U145" t="s">
        <v>167</v>
      </c>
      <c r="W145" t="s">
        <v>167</v>
      </c>
      <c r="Y145" t="s">
        <v>167</v>
      </c>
    </row>
    <row r="146">
      <c r="G146" t="s">
        <v>167</v>
      </c>
      <c r="I146" t="s">
        <v>167</v>
      </c>
      <c r="K146" t="s">
        <v>167</v>
      </c>
      <c r="M146" t="s">
        <v>167</v>
      </c>
      <c r="O146" t="s">
        <v>167</v>
      </c>
      <c r="Q146" t="s">
        <v>167</v>
      </c>
      <c r="S146" t="s">
        <v>167</v>
      </c>
      <c r="U146" t="s">
        <v>167</v>
      </c>
      <c r="W146" t="s">
        <v>167</v>
      </c>
      <c r="Y146" t="s">
        <v>167</v>
      </c>
    </row>
    <row r="147">
      <c r="G147" t="s">
        <v>167</v>
      </c>
      <c r="I147" t="s">
        <v>167</v>
      </c>
      <c r="K147" t="s">
        <v>167</v>
      </c>
      <c r="M147" t="s">
        <v>167</v>
      </c>
      <c r="O147" t="s">
        <v>167</v>
      </c>
      <c r="Q147" t="s">
        <v>167</v>
      </c>
      <c r="S147" t="s">
        <v>167</v>
      </c>
      <c r="U147" t="s">
        <v>167</v>
      </c>
      <c r="W147" t="s">
        <v>167</v>
      </c>
      <c r="Y147" t="s">
        <v>167</v>
      </c>
    </row>
    <row r="148">
      <c r="G148" t="s">
        <v>167</v>
      </c>
      <c r="I148" t="s">
        <v>167</v>
      </c>
      <c r="K148" t="s">
        <v>167</v>
      </c>
      <c r="M148" t="s">
        <v>167</v>
      </c>
      <c r="O148" t="s">
        <v>167</v>
      </c>
      <c r="Q148" t="s">
        <v>167</v>
      </c>
      <c r="S148" t="s">
        <v>167</v>
      </c>
      <c r="U148" t="s">
        <v>167</v>
      </c>
      <c r="W148" t="s">
        <v>167</v>
      </c>
      <c r="Y148" t="s">
        <v>167</v>
      </c>
    </row>
    <row r="149">
      <c r="G149" t="s">
        <v>167</v>
      </c>
      <c r="I149" t="s">
        <v>167</v>
      </c>
      <c r="K149" t="s">
        <v>167</v>
      </c>
      <c r="M149" t="s">
        <v>167</v>
      </c>
      <c r="O149" t="s">
        <v>167</v>
      </c>
      <c r="Q149" t="s">
        <v>167</v>
      </c>
      <c r="S149" t="s">
        <v>167</v>
      </c>
      <c r="U149" t="s">
        <v>167</v>
      </c>
      <c r="W149" t="s">
        <v>167</v>
      </c>
      <c r="Y149" t="s">
        <v>167</v>
      </c>
    </row>
    <row r="150">
      <c r="G150" t="s">
        <v>167</v>
      </c>
      <c r="I150" t="s">
        <v>167</v>
      </c>
      <c r="K150" t="s">
        <v>167</v>
      </c>
      <c r="M150" t="s">
        <v>167</v>
      </c>
      <c r="O150" t="s">
        <v>167</v>
      </c>
      <c r="Q150" t="s">
        <v>167</v>
      </c>
      <c r="S150" t="s">
        <v>167</v>
      </c>
      <c r="U150" t="s">
        <v>167</v>
      </c>
      <c r="W150" t="s">
        <v>167</v>
      </c>
      <c r="Y150" t="s">
        <v>167</v>
      </c>
    </row>
    <row r="151">
      <c r="G151" t="s">
        <v>167</v>
      </c>
      <c r="I151" t="s">
        <v>167</v>
      </c>
      <c r="K151" t="s">
        <v>167</v>
      </c>
      <c r="M151" t="s">
        <v>167</v>
      </c>
      <c r="O151" t="s">
        <v>167</v>
      </c>
      <c r="Q151" t="s">
        <v>167</v>
      </c>
      <c r="S151" t="s">
        <v>167</v>
      </c>
      <c r="U151" t="s">
        <v>167</v>
      </c>
      <c r="W151" t="s">
        <v>167</v>
      </c>
      <c r="Y151" t="s">
        <v>167</v>
      </c>
    </row>
    <row r="152">
      <c r="G152" t="s">
        <v>167</v>
      </c>
      <c r="I152" t="s">
        <v>167</v>
      </c>
      <c r="K152" t="s">
        <v>167</v>
      </c>
      <c r="M152" t="s">
        <v>167</v>
      </c>
      <c r="O152" t="s">
        <v>167</v>
      </c>
      <c r="Q152" t="s">
        <v>167</v>
      </c>
      <c r="S152" t="s">
        <v>167</v>
      </c>
      <c r="U152" t="s">
        <v>167</v>
      </c>
      <c r="W152" t="s">
        <v>167</v>
      </c>
      <c r="Y152" t="s">
        <v>167</v>
      </c>
    </row>
    <row r="153">
      <c r="G153" t="s">
        <v>167</v>
      </c>
      <c r="I153" t="s">
        <v>167</v>
      </c>
      <c r="K153" t="s">
        <v>167</v>
      </c>
      <c r="M153" t="s">
        <v>167</v>
      </c>
      <c r="O153" t="s">
        <v>167</v>
      </c>
      <c r="Q153" t="s">
        <v>167</v>
      </c>
      <c r="S153" t="s">
        <v>167</v>
      </c>
      <c r="U153" t="s">
        <v>167</v>
      </c>
      <c r="W153" t="s">
        <v>167</v>
      </c>
      <c r="Y153" t="s">
        <v>167</v>
      </c>
    </row>
    <row r="154">
      <c r="G154" t="s">
        <v>167</v>
      </c>
      <c r="I154" t="s">
        <v>167</v>
      </c>
      <c r="K154" t="s">
        <v>167</v>
      </c>
      <c r="M154" t="s">
        <v>167</v>
      </c>
      <c r="O154" t="s">
        <v>167</v>
      </c>
      <c r="Q154" t="s">
        <v>167</v>
      </c>
      <c r="S154" t="s">
        <v>167</v>
      </c>
      <c r="U154" t="s">
        <v>167</v>
      </c>
      <c r="W154" t="s">
        <v>167</v>
      </c>
      <c r="Y154" t="s">
        <v>167</v>
      </c>
    </row>
    <row r="155">
      <c r="G155" t="s">
        <v>167</v>
      </c>
      <c r="I155" t="s">
        <v>167</v>
      </c>
      <c r="K155" t="s">
        <v>167</v>
      </c>
      <c r="M155" t="s">
        <v>167</v>
      </c>
      <c r="O155" t="s">
        <v>167</v>
      </c>
      <c r="Q155" t="s">
        <v>167</v>
      </c>
      <c r="S155" t="s">
        <v>167</v>
      </c>
      <c r="U155" t="s">
        <v>167</v>
      </c>
      <c r="W155" t="s">
        <v>167</v>
      </c>
      <c r="Y155" t="s">
        <v>167</v>
      </c>
    </row>
    <row r="156">
      <c r="G156" t="s">
        <v>167</v>
      </c>
      <c r="I156" t="s">
        <v>167</v>
      </c>
      <c r="K156" t="s">
        <v>167</v>
      </c>
      <c r="M156" t="s">
        <v>167</v>
      </c>
      <c r="O156" t="s">
        <v>167</v>
      </c>
      <c r="Q156" t="s">
        <v>167</v>
      </c>
      <c r="S156" t="s">
        <v>167</v>
      </c>
      <c r="U156" t="s">
        <v>167</v>
      </c>
      <c r="W156" t="s">
        <v>167</v>
      </c>
      <c r="Y156" t="s">
        <v>167</v>
      </c>
    </row>
    <row r="157">
      <c r="G157" t="s">
        <v>167</v>
      </c>
      <c r="I157" t="s">
        <v>167</v>
      </c>
      <c r="K157" t="s">
        <v>167</v>
      </c>
      <c r="M157" t="s">
        <v>167</v>
      </c>
      <c r="O157" t="s">
        <v>167</v>
      </c>
      <c r="Q157" t="s">
        <v>167</v>
      </c>
      <c r="S157" t="s">
        <v>167</v>
      </c>
      <c r="U157" t="s">
        <v>167</v>
      </c>
      <c r="W157" t="s">
        <v>167</v>
      </c>
      <c r="Y157" t="s">
        <v>167</v>
      </c>
    </row>
    <row r="158">
      <c r="G158" t="s">
        <v>167</v>
      </c>
      <c r="I158" t="s">
        <v>167</v>
      </c>
      <c r="K158" t="s">
        <v>167</v>
      </c>
      <c r="M158" t="s">
        <v>167</v>
      </c>
      <c r="O158" t="s">
        <v>167</v>
      </c>
      <c r="Q158" t="s">
        <v>167</v>
      </c>
      <c r="S158" t="s">
        <v>167</v>
      </c>
      <c r="U158" t="s">
        <v>167</v>
      </c>
      <c r="W158" t="s">
        <v>167</v>
      </c>
      <c r="Y158" t="s">
        <v>167</v>
      </c>
    </row>
    <row r="159">
      <c r="G159" t="s">
        <v>167</v>
      </c>
      <c r="I159" t="s">
        <v>167</v>
      </c>
      <c r="K159" t="s">
        <v>167</v>
      </c>
      <c r="M159" t="s">
        <v>167</v>
      </c>
      <c r="O159" t="s">
        <v>167</v>
      </c>
      <c r="Q159" t="s">
        <v>167</v>
      </c>
      <c r="S159" t="s">
        <v>167</v>
      </c>
      <c r="U159" t="s">
        <v>167</v>
      </c>
      <c r="W159" t="s">
        <v>167</v>
      </c>
      <c r="Y159" t="s">
        <v>167</v>
      </c>
    </row>
    <row r="160">
      <c r="G160" t="s">
        <v>167</v>
      </c>
      <c r="I160" t="s">
        <v>167</v>
      </c>
      <c r="K160" t="s">
        <v>167</v>
      </c>
      <c r="M160" t="s">
        <v>167</v>
      </c>
      <c r="O160" t="s">
        <v>167</v>
      </c>
      <c r="Q160" t="s">
        <v>167</v>
      </c>
      <c r="S160" t="s">
        <v>167</v>
      </c>
      <c r="U160" t="s">
        <v>167</v>
      </c>
      <c r="W160" t="s">
        <v>167</v>
      </c>
      <c r="Y160" t="s">
        <v>167</v>
      </c>
    </row>
    <row r="161">
      <c r="G161" t="s">
        <v>167</v>
      </c>
      <c r="I161" t="s">
        <v>167</v>
      </c>
      <c r="K161" t="s">
        <v>167</v>
      </c>
      <c r="M161" t="s">
        <v>167</v>
      </c>
      <c r="O161" t="s">
        <v>167</v>
      </c>
      <c r="Q161" t="s">
        <v>167</v>
      </c>
      <c r="S161" t="s">
        <v>167</v>
      </c>
      <c r="U161" t="s">
        <v>167</v>
      </c>
      <c r="W161" t="s">
        <v>167</v>
      </c>
      <c r="Y161" t="s">
        <v>167</v>
      </c>
    </row>
    <row r="162">
      <c r="G162" t="s">
        <v>167</v>
      </c>
      <c r="I162" t="s">
        <v>167</v>
      </c>
      <c r="K162" t="s">
        <v>167</v>
      </c>
      <c r="M162" t="s">
        <v>167</v>
      </c>
      <c r="O162" t="s">
        <v>167</v>
      </c>
      <c r="Q162" t="s">
        <v>167</v>
      </c>
      <c r="S162" t="s">
        <v>167</v>
      </c>
      <c r="U162" t="s">
        <v>167</v>
      </c>
      <c r="W162" t="s">
        <v>167</v>
      </c>
      <c r="Y162" t="s">
        <v>167</v>
      </c>
    </row>
    <row r="163">
      <c r="G163" t="s">
        <v>167</v>
      </c>
      <c r="I163" t="s">
        <v>167</v>
      </c>
      <c r="K163" t="s">
        <v>167</v>
      </c>
      <c r="M163" t="s">
        <v>167</v>
      </c>
      <c r="O163" t="s">
        <v>167</v>
      </c>
      <c r="Q163" t="s">
        <v>167</v>
      </c>
      <c r="S163" t="s">
        <v>167</v>
      </c>
      <c r="U163" t="s">
        <v>167</v>
      </c>
      <c r="W163" t="s">
        <v>167</v>
      </c>
      <c r="Y163" t="s">
        <v>167</v>
      </c>
    </row>
    <row r="164">
      <c r="G164" t="s">
        <v>167</v>
      </c>
      <c r="I164" t="s">
        <v>167</v>
      </c>
      <c r="K164" t="s">
        <v>167</v>
      </c>
      <c r="M164" t="s">
        <v>167</v>
      </c>
      <c r="O164" t="s">
        <v>167</v>
      </c>
      <c r="Q164" t="s">
        <v>167</v>
      </c>
      <c r="S164" t="s">
        <v>167</v>
      </c>
      <c r="U164" t="s">
        <v>167</v>
      </c>
      <c r="W164" t="s">
        <v>167</v>
      </c>
      <c r="Y164" t="s">
        <v>167</v>
      </c>
    </row>
    <row r="165">
      <c r="G165" t="s">
        <v>167</v>
      </c>
      <c r="I165" t="s">
        <v>167</v>
      </c>
      <c r="K165" t="s">
        <v>167</v>
      </c>
      <c r="M165" t="s">
        <v>167</v>
      </c>
      <c r="O165" t="s">
        <v>167</v>
      </c>
      <c r="Q165" t="s">
        <v>167</v>
      </c>
      <c r="S165" t="s">
        <v>167</v>
      </c>
      <c r="U165" t="s">
        <v>167</v>
      </c>
      <c r="W165" t="s">
        <v>167</v>
      </c>
      <c r="Y165" t="s">
        <v>167</v>
      </c>
    </row>
    <row r="166">
      <c r="G166" t="s">
        <v>167</v>
      </c>
      <c r="I166" t="s">
        <v>167</v>
      </c>
      <c r="K166" t="s">
        <v>167</v>
      </c>
      <c r="M166" t="s">
        <v>167</v>
      </c>
      <c r="O166" t="s">
        <v>167</v>
      </c>
      <c r="Q166" t="s">
        <v>167</v>
      </c>
      <c r="S166" t="s">
        <v>167</v>
      </c>
      <c r="U166" t="s">
        <v>167</v>
      </c>
      <c r="W166" t="s">
        <v>167</v>
      </c>
      <c r="Y166" t="s">
        <v>167</v>
      </c>
    </row>
    <row r="167">
      <c r="G167" t="s">
        <v>167</v>
      </c>
      <c r="I167" t="s">
        <v>167</v>
      </c>
      <c r="K167" t="s">
        <v>167</v>
      </c>
      <c r="M167" t="s">
        <v>167</v>
      </c>
      <c r="O167" t="s">
        <v>167</v>
      </c>
      <c r="Q167" t="s">
        <v>167</v>
      </c>
      <c r="S167" t="s">
        <v>167</v>
      </c>
      <c r="U167" t="s">
        <v>167</v>
      </c>
      <c r="W167" t="s">
        <v>167</v>
      </c>
      <c r="Y167" t="s">
        <v>167</v>
      </c>
    </row>
    <row r="168">
      <c r="G168" t="s">
        <v>167</v>
      </c>
      <c r="I168" t="s">
        <v>167</v>
      </c>
      <c r="K168" t="s">
        <v>167</v>
      </c>
      <c r="M168" t="s">
        <v>167</v>
      </c>
      <c r="O168" t="s">
        <v>167</v>
      </c>
      <c r="Q168" t="s">
        <v>167</v>
      </c>
      <c r="S168" t="s">
        <v>167</v>
      </c>
      <c r="U168" t="s">
        <v>167</v>
      </c>
      <c r="W168" t="s">
        <v>167</v>
      </c>
      <c r="Y168" t="s">
        <v>167</v>
      </c>
    </row>
    <row r="169">
      <c r="G169" t="s">
        <v>167</v>
      </c>
      <c r="I169" t="s">
        <v>167</v>
      </c>
      <c r="K169" t="s">
        <v>167</v>
      </c>
      <c r="M169" t="s">
        <v>167</v>
      </c>
      <c r="O169" t="s">
        <v>167</v>
      </c>
      <c r="Q169" t="s">
        <v>167</v>
      </c>
      <c r="S169" t="s">
        <v>167</v>
      </c>
      <c r="U169" t="s">
        <v>167</v>
      </c>
      <c r="W169" t="s">
        <v>167</v>
      </c>
      <c r="Y169" t="s">
        <v>167</v>
      </c>
    </row>
    <row r="170">
      <c r="G170" t="s">
        <v>167</v>
      </c>
      <c r="I170" t="s">
        <v>167</v>
      </c>
      <c r="K170" t="s">
        <v>167</v>
      </c>
      <c r="M170" t="s">
        <v>167</v>
      </c>
      <c r="O170" t="s">
        <v>167</v>
      </c>
      <c r="Q170" t="s">
        <v>167</v>
      </c>
      <c r="S170" t="s">
        <v>167</v>
      </c>
      <c r="U170" t="s">
        <v>167</v>
      </c>
      <c r="W170" t="s">
        <v>167</v>
      </c>
      <c r="Y170" t="s">
        <v>167</v>
      </c>
    </row>
    <row r="171">
      <c r="G171" t="s">
        <v>167</v>
      </c>
      <c r="I171" t="s">
        <v>167</v>
      </c>
      <c r="K171" t="s">
        <v>167</v>
      </c>
      <c r="M171" t="s">
        <v>167</v>
      </c>
      <c r="O171" t="s">
        <v>167</v>
      </c>
      <c r="Q171" t="s">
        <v>167</v>
      </c>
      <c r="S171" t="s">
        <v>167</v>
      </c>
      <c r="U171" t="s">
        <v>167</v>
      </c>
      <c r="W171" t="s">
        <v>167</v>
      </c>
      <c r="Y171" t="s">
        <v>167</v>
      </c>
    </row>
    <row r="172">
      <c r="G172" t="s">
        <v>167</v>
      </c>
      <c r="I172" t="s">
        <v>167</v>
      </c>
      <c r="K172" t="s">
        <v>167</v>
      </c>
      <c r="M172" t="s">
        <v>167</v>
      </c>
      <c r="O172" t="s">
        <v>167</v>
      </c>
      <c r="Q172" t="s">
        <v>167</v>
      </c>
      <c r="S172" t="s">
        <v>167</v>
      </c>
      <c r="U172" t="s">
        <v>167</v>
      </c>
      <c r="W172" t="s">
        <v>167</v>
      </c>
      <c r="Y172" t="s">
        <v>167</v>
      </c>
    </row>
    <row r="173">
      <c r="G173" t="s">
        <v>167</v>
      </c>
      <c r="I173" t="s">
        <v>167</v>
      </c>
      <c r="K173" t="s">
        <v>167</v>
      </c>
      <c r="M173" t="s">
        <v>167</v>
      </c>
      <c r="O173" t="s">
        <v>167</v>
      </c>
      <c r="Q173" t="s">
        <v>167</v>
      </c>
      <c r="S173" t="s">
        <v>167</v>
      </c>
      <c r="U173" t="s">
        <v>167</v>
      </c>
      <c r="W173" t="s">
        <v>167</v>
      </c>
      <c r="Y173" t="s">
        <v>167</v>
      </c>
    </row>
    <row r="174">
      <c r="G174" t="s">
        <v>167</v>
      </c>
      <c r="I174" t="s">
        <v>167</v>
      </c>
      <c r="K174" t="s">
        <v>167</v>
      </c>
      <c r="M174" t="s">
        <v>167</v>
      </c>
      <c r="O174" t="s">
        <v>167</v>
      </c>
      <c r="Q174" t="s">
        <v>167</v>
      </c>
      <c r="S174" t="s">
        <v>167</v>
      </c>
      <c r="U174" t="s">
        <v>167</v>
      </c>
      <c r="W174" t="s">
        <v>167</v>
      </c>
      <c r="Y174" t="s">
        <v>167</v>
      </c>
    </row>
    <row r="175">
      <c r="G175" t="s">
        <v>167</v>
      </c>
      <c r="I175" t="s">
        <v>167</v>
      </c>
      <c r="K175" t="s">
        <v>167</v>
      </c>
      <c r="M175" t="s">
        <v>167</v>
      </c>
      <c r="O175" t="s">
        <v>167</v>
      </c>
      <c r="Q175" t="s">
        <v>167</v>
      </c>
      <c r="S175" t="s">
        <v>167</v>
      </c>
      <c r="U175" t="s">
        <v>167</v>
      </c>
      <c r="W175" t="s">
        <v>167</v>
      </c>
      <c r="Y175" t="s">
        <v>167</v>
      </c>
    </row>
    <row r="176">
      <c r="G176" t="s">
        <v>167</v>
      </c>
      <c r="I176" t="s">
        <v>167</v>
      </c>
      <c r="K176" t="s">
        <v>167</v>
      </c>
      <c r="M176" t="s">
        <v>167</v>
      </c>
      <c r="O176" t="s">
        <v>167</v>
      </c>
      <c r="Q176" t="s">
        <v>167</v>
      </c>
      <c r="S176" t="s">
        <v>167</v>
      </c>
      <c r="U176" t="s">
        <v>167</v>
      </c>
      <c r="W176" t="s">
        <v>167</v>
      </c>
      <c r="Y176" t="s">
        <v>167</v>
      </c>
    </row>
    <row r="177">
      <c r="G177" t="s">
        <v>167</v>
      </c>
      <c r="I177" t="s">
        <v>167</v>
      </c>
      <c r="K177" t="s">
        <v>167</v>
      </c>
      <c r="M177" t="s">
        <v>167</v>
      </c>
      <c r="O177" t="s">
        <v>167</v>
      </c>
      <c r="Q177" t="s">
        <v>167</v>
      </c>
      <c r="S177" t="s">
        <v>167</v>
      </c>
      <c r="U177" t="s">
        <v>167</v>
      </c>
      <c r="W177" t="s">
        <v>167</v>
      </c>
      <c r="Y177" t="s">
        <v>167</v>
      </c>
    </row>
    <row r="178">
      <c r="G178" t="s">
        <v>167</v>
      </c>
      <c r="I178" t="s">
        <v>167</v>
      </c>
      <c r="K178" t="s">
        <v>167</v>
      </c>
      <c r="M178" t="s">
        <v>167</v>
      </c>
      <c r="O178" t="s">
        <v>167</v>
      </c>
      <c r="Q178" t="s">
        <v>167</v>
      </c>
      <c r="S178" t="s">
        <v>167</v>
      </c>
      <c r="U178" t="s">
        <v>167</v>
      </c>
      <c r="W178" t="s">
        <v>167</v>
      </c>
      <c r="Y178" t="s">
        <v>167</v>
      </c>
    </row>
    <row r="179">
      <c r="G179" t="s">
        <v>167</v>
      </c>
      <c r="I179" t="s">
        <v>167</v>
      </c>
      <c r="K179" t="s">
        <v>167</v>
      </c>
      <c r="M179" t="s">
        <v>167</v>
      </c>
      <c r="O179" t="s">
        <v>167</v>
      </c>
      <c r="Q179" t="s">
        <v>167</v>
      </c>
      <c r="S179" t="s">
        <v>167</v>
      </c>
      <c r="U179" t="s">
        <v>167</v>
      </c>
      <c r="W179" t="s">
        <v>167</v>
      </c>
      <c r="Y179" t="s">
        <v>167</v>
      </c>
    </row>
    <row r="180">
      <c r="G180" t="s">
        <v>167</v>
      </c>
      <c r="I180" t="s">
        <v>167</v>
      </c>
      <c r="K180" t="s">
        <v>167</v>
      </c>
      <c r="M180" t="s">
        <v>167</v>
      </c>
      <c r="O180" t="s">
        <v>167</v>
      </c>
      <c r="Q180" t="s">
        <v>167</v>
      </c>
      <c r="S180" t="s">
        <v>167</v>
      </c>
      <c r="U180" t="s">
        <v>167</v>
      </c>
      <c r="W180" t="s">
        <v>167</v>
      </c>
      <c r="Y180" t="s">
        <v>167</v>
      </c>
    </row>
    <row r="181">
      <c r="G181" t="s">
        <v>167</v>
      </c>
      <c r="I181" t="s">
        <v>167</v>
      </c>
      <c r="K181" t="s">
        <v>167</v>
      </c>
      <c r="M181" t="s">
        <v>167</v>
      </c>
      <c r="O181" t="s">
        <v>167</v>
      </c>
      <c r="Q181" t="s">
        <v>167</v>
      </c>
      <c r="S181" t="s">
        <v>167</v>
      </c>
      <c r="U181" t="s">
        <v>167</v>
      </c>
      <c r="W181" t="s">
        <v>167</v>
      </c>
      <c r="Y181" t="s">
        <v>167</v>
      </c>
    </row>
    <row r="182">
      <c r="G182" t="s">
        <v>167</v>
      </c>
      <c r="I182" t="s">
        <v>167</v>
      </c>
      <c r="K182" t="s">
        <v>167</v>
      </c>
      <c r="M182" t="s">
        <v>167</v>
      </c>
      <c r="O182" t="s">
        <v>167</v>
      </c>
      <c r="Q182" t="s">
        <v>167</v>
      </c>
      <c r="S182" t="s">
        <v>167</v>
      </c>
      <c r="U182" t="s">
        <v>167</v>
      </c>
      <c r="W182" t="s">
        <v>167</v>
      </c>
      <c r="Y182" t="s">
        <v>167</v>
      </c>
    </row>
    <row r="183">
      <c r="G183" t="s">
        <v>167</v>
      </c>
      <c r="I183" t="s">
        <v>167</v>
      </c>
      <c r="K183" t="s">
        <v>167</v>
      </c>
      <c r="M183" t="s">
        <v>167</v>
      </c>
      <c r="O183" t="s">
        <v>167</v>
      </c>
      <c r="Q183" t="s">
        <v>167</v>
      </c>
      <c r="S183" t="s">
        <v>167</v>
      </c>
      <c r="U183" t="s">
        <v>167</v>
      </c>
      <c r="W183" t="s">
        <v>167</v>
      </c>
      <c r="Y183" t="s">
        <v>167</v>
      </c>
    </row>
    <row r="184">
      <c r="G184" t="s">
        <v>167</v>
      </c>
      <c r="I184" t="s">
        <v>167</v>
      </c>
      <c r="K184" t="s">
        <v>167</v>
      </c>
      <c r="M184" t="s">
        <v>167</v>
      </c>
      <c r="O184" t="s">
        <v>167</v>
      </c>
      <c r="Q184" t="s">
        <v>167</v>
      </c>
      <c r="S184" t="s">
        <v>167</v>
      </c>
      <c r="U184" t="s">
        <v>167</v>
      </c>
      <c r="W184" t="s">
        <v>167</v>
      </c>
      <c r="Y184" t="s">
        <v>167</v>
      </c>
    </row>
    <row r="185">
      <c r="G185" t="s">
        <v>167</v>
      </c>
      <c r="I185" t="s">
        <v>167</v>
      </c>
      <c r="K185" t="s">
        <v>167</v>
      </c>
      <c r="M185" t="s">
        <v>167</v>
      </c>
      <c r="O185" t="s">
        <v>167</v>
      </c>
      <c r="Q185" t="s">
        <v>167</v>
      </c>
      <c r="S185" t="s">
        <v>167</v>
      </c>
      <c r="U185" t="s">
        <v>167</v>
      </c>
      <c r="W185" t="s">
        <v>167</v>
      </c>
      <c r="Y185" t="s">
        <v>167</v>
      </c>
    </row>
    <row r="186">
      <c r="G186" t="s">
        <v>167</v>
      </c>
      <c r="I186" t="s">
        <v>167</v>
      </c>
      <c r="K186" t="s">
        <v>167</v>
      </c>
      <c r="M186" t="s">
        <v>167</v>
      </c>
      <c r="O186" t="s">
        <v>167</v>
      </c>
      <c r="Q186" t="s">
        <v>167</v>
      </c>
      <c r="S186" t="s">
        <v>167</v>
      </c>
      <c r="U186" t="s">
        <v>167</v>
      </c>
      <c r="W186" t="s">
        <v>167</v>
      </c>
      <c r="Y186" t="s">
        <v>167</v>
      </c>
    </row>
    <row r="187">
      <c r="G187" t="s">
        <v>167</v>
      </c>
      <c r="I187" t="s">
        <v>167</v>
      </c>
      <c r="K187" t="s">
        <v>167</v>
      </c>
      <c r="M187" t="s">
        <v>167</v>
      </c>
      <c r="O187" t="s">
        <v>167</v>
      </c>
      <c r="Q187" t="s">
        <v>167</v>
      </c>
      <c r="S187" t="s">
        <v>167</v>
      </c>
      <c r="U187" t="s">
        <v>167</v>
      </c>
      <c r="W187" t="s">
        <v>167</v>
      </c>
      <c r="Y187" t="s">
        <v>167</v>
      </c>
    </row>
    <row r="188">
      <c r="G188" t="s">
        <v>167</v>
      </c>
      <c r="I188" t="s">
        <v>167</v>
      </c>
      <c r="K188" t="s">
        <v>167</v>
      </c>
      <c r="M188" t="s">
        <v>167</v>
      </c>
      <c r="O188" t="s">
        <v>167</v>
      </c>
      <c r="Q188" t="s">
        <v>167</v>
      </c>
      <c r="S188" t="s">
        <v>167</v>
      </c>
      <c r="U188" t="s">
        <v>167</v>
      </c>
      <c r="W188" t="s">
        <v>167</v>
      </c>
      <c r="Y188" t="s">
        <v>167</v>
      </c>
    </row>
    <row r="189">
      <c r="G189" t="s">
        <v>167</v>
      </c>
      <c r="I189" t="s">
        <v>167</v>
      </c>
      <c r="K189" t="s">
        <v>167</v>
      </c>
      <c r="M189" t="s">
        <v>167</v>
      </c>
      <c r="O189" t="s">
        <v>167</v>
      </c>
      <c r="Q189" t="s">
        <v>167</v>
      </c>
      <c r="S189" t="s">
        <v>167</v>
      </c>
      <c r="U189" t="s">
        <v>167</v>
      </c>
      <c r="W189" t="s">
        <v>167</v>
      </c>
      <c r="Y189" t="s">
        <v>167</v>
      </c>
    </row>
    <row r="190">
      <c r="G190" t="s">
        <v>167</v>
      </c>
      <c r="I190" t="s">
        <v>167</v>
      </c>
      <c r="K190" t="s">
        <v>167</v>
      </c>
      <c r="M190" t="s">
        <v>167</v>
      </c>
      <c r="O190" t="s">
        <v>167</v>
      </c>
      <c r="Q190" t="s">
        <v>167</v>
      </c>
      <c r="S190" t="s">
        <v>167</v>
      </c>
      <c r="U190" t="s">
        <v>167</v>
      </c>
      <c r="W190" t="s">
        <v>167</v>
      </c>
      <c r="Y190" t="s">
        <v>167</v>
      </c>
    </row>
    <row r="191">
      <c r="G191" t="s">
        <v>167</v>
      </c>
      <c r="I191" t="s">
        <v>167</v>
      </c>
      <c r="K191" t="s">
        <v>167</v>
      </c>
      <c r="M191" t="s">
        <v>167</v>
      </c>
      <c r="O191" t="s">
        <v>167</v>
      </c>
      <c r="Q191" t="s">
        <v>167</v>
      </c>
      <c r="S191" t="s">
        <v>167</v>
      </c>
      <c r="U191" t="s">
        <v>167</v>
      </c>
      <c r="W191" t="s">
        <v>167</v>
      </c>
      <c r="Y191" t="s">
        <v>167</v>
      </c>
    </row>
    <row r="192">
      <c r="G192" t="s">
        <v>167</v>
      </c>
      <c r="I192" t="s">
        <v>167</v>
      </c>
      <c r="K192" t="s">
        <v>167</v>
      </c>
      <c r="M192" t="s">
        <v>167</v>
      </c>
      <c r="O192" t="s">
        <v>167</v>
      </c>
      <c r="Q192" t="s">
        <v>167</v>
      </c>
      <c r="S192" t="s">
        <v>167</v>
      </c>
      <c r="U192" t="s">
        <v>167</v>
      </c>
      <c r="W192" t="s">
        <v>167</v>
      </c>
      <c r="Y192" t="s">
        <v>167</v>
      </c>
    </row>
    <row r="193">
      <c r="G193" t="s">
        <v>167</v>
      </c>
      <c r="I193" t="s">
        <v>167</v>
      </c>
      <c r="K193" t="s">
        <v>167</v>
      </c>
      <c r="M193" t="s">
        <v>167</v>
      </c>
      <c r="O193" t="s">
        <v>167</v>
      </c>
      <c r="Q193" t="s">
        <v>167</v>
      </c>
      <c r="S193" t="s">
        <v>167</v>
      </c>
      <c r="U193" t="s">
        <v>167</v>
      </c>
      <c r="W193" t="s">
        <v>167</v>
      </c>
      <c r="Y193" t="s">
        <v>167</v>
      </c>
    </row>
    <row r="194">
      <c r="G194" t="s">
        <v>167</v>
      </c>
      <c r="I194" t="s">
        <v>167</v>
      </c>
      <c r="K194" t="s">
        <v>167</v>
      </c>
      <c r="M194" t="s">
        <v>167</v>
      </c>
      <c r="O194" t="s">
        <v>167</v>
      </c>
      <c r="Q194" t="s">
        <v>167</v>
      </c>
      <c r="S194" t="s">
        <v>167</v>
      </c>
      <c r="U194" t="s">
        <v>167</v>
      </c>
      <c r="W194" t="s">
        <v>167</v>
      </c>
      <c r="Y194" t="s">
        <v>167</v>
      </c>
    </row>
    <row r="195">
      <c r="G195" t="s">
        <v>167</v>
      </c>
      <c r="I195" t="s">
        <v>167</v>
      </c>
      <c r="K195" t="s">
        <v>167</v>
      </c>
      <c r="M195" t="s">
        <v>167</v>
      </c>
      <c r="O195" t="s">
        <v>167</v>
      </c>
      <c r="Q195" t="s">
        <v>167</v>
      </c>
      <c r="S195" t="s">
        <v>167</v>
      </c>
      <c r="U195" t="s">
        <v>167</v>
      </c>
      <c r="W195" t="s">
        <v>167</v>
      </c>
      <c r="Y195" t="s">
        <v>167</v>
      </c>
    </row>
    <row r="196">
      <c r="G196" t="s">
        <v>167</v>
      </c>
      <c r="I196" t="s">
        <v>167</v>
      </c>
      <c r="K196" t="s">
        <v>167</v>
      </c>
      <c r="M196" t="s">
        <v>167</v>
      </c>
      <c r="O196" t="s">
        <v>167</v>
      </c>
      <c r="Q196" t="s">
        <v>167</v>
      </c>
      <c r="S196" t="s">
        <v>167</v>
      </c>
      <c r="U196" t="s">
        <v>167</v>
      </c>
      <c r="W196" t="s">
        <v>167</v>
      </c>
      <c r="Y196" t="s">
        <v>167</v>
      </c>
    </row>
    <row r="197">
      <c r="G197" t="s">
        <v>167</v>
      </c>
      <c r="I197" t="s">
        <v>167</v>
      </c>
      <c r="K197" t="s">
        <v>167</v>
      </c>
      <c r="M197" t="s">
        <v>167</v>
      </c>
      <c r="O197" t="s">
        <v>167</v>
      </c>
      <c r="Q197" t="s">
        <v>167</v>
      </c>
      <c r="S197" t="s">
        <v>167</v>
      </c>
      <c r="U197" t="s">
        <v>167</v>
      </c>
      <c r="W197" t="s">
        <v>167</v>
      </c>
      <c r="Y197" t="s">
        <v>167</v>
      </c>
    </row>
    <row r="198">
      <c r="G198" t="s">
        <v>167</v>
      </c>
      <c r="I198" t="s">
        <v>167</v>
      </c>
      <c r="K198" t="s">
        <v>167</v>
      </c>
      <c r="M198" t="s">
        <v>167</v>
      </c>
      <c r="O198" t="s">
        <v>167</v>
      </c>
      <c r="Q198" t="s">
        <v>167</v>
      </c>
      <c r="S198" t="s">
        <v>167</v>
      </c>
      <c r="U198" t="s">
        <v>167</v>
      </c>
      <c r="W198" t="s">
        <v>167</v>
      </c>
      <c r="Y198" t="s">
        <v>167</v>
      </c>
    </row>
    <row r="199">
      <c r="G199" t="s">
        <v>167</v>
      </c>
      <c r="I199" t="s">
        <v>167</v>
      </c>
      <c r="K199" t="s">
        <v>167</v>
      </c>
      <c r="M199" t="s">
        <v>167</v>
      </c>
      <c r="O199" t="s">
        <v>167</v>
      </c>
      <c r="Q199" t="s">
        <v>167</v>
      </c>
      <c r="S199" t="s">
        <v>167</v>
      </c>
      <c r="U199" t="s">
        <v>167</v>
      </c>
      <c r="W199" t="s">
        <v>167</v>
      </c>
      <c r="Y199" t="s">
        <v>167</v>
      </c>
    </row>
    <row r="200">
      <c r="G200" t="s">
        <v>167</v>
      </c>
      <c r="I200" t="s">
        <v>167</v>
      </c>
      <c r="K200" t="s">
        <v>167</v>
      </c>
      <c r="M200" t="s">
        <v>167</v>
      </c>
      <c r="O200" t="s">
        <v>167</v>
      </c>
      <c r="Q200" t="s">
        <v>167</v>
      </c>
      <c r="S200" t="s">
        <v>167</v>
      </c>
      <c r="U200" t="s">
        <v>167</v>
      </c>
      <c r="W200" t="s">
        <v>167</v>
      </c>
      <c r="Y200" t="s">
        <v>167</v>
      </c>
    </row>
    <row r="201">
      <c r="G201" t="s">
        <v>167</v>
      </c>
      <c r="I201" t="s">
        <v>167</v>
      </c>
      <c r="K201" t="s">
        <v>167</v>
      </c>
      <c r="M201" t="s">
        <v>167</v>
      </c>
      <c r="O201" t="s">
        <v>167</v>
      </c>
      <c r="Q201" t="s">
        <v>167</v>
      </c>
      <c r="S201" t="s">
        <v>167</v>
      </c>
      <c r="U201" t="s">
        <v>167</v>
      </c>
      <c r="W201" t="s">
        <v>167</v>
      </c>
      <c r="Y201" t="s">
        <v>167</v>
      </c>
    </row>
    <row r="202">
      <c r="G202" t="s">
        <v>167</v>
      </c>
      <c r="I202" t="s">
        <v>167</v>
      </c>
      <c r="K202" t="s">
        <v>167</v>
      </c>
      <c r="M202" t="s">
        <v>167</v>
      </c>
      <c r="O202" t="s">
        <v>167</v>
      </c>
      <c r="Q202" t="s">
        <v>167</v>
      </c>
      <c r="S202" t="s">
        <v>167</v>
      </c>
      <c r="U202" t="s">
        <v>167</v>
      </c>
      <c r="W202" t="s">
        <v>167</v>
      </c>
      <c r="Y202" t="s">
        <v>167</v>
      </c>
    </row>
    <row r="203">
      <c r="G203" t="s">
        <v>167</v>
      </c>
      <c r="I203" t="s">
        <v>167</v>
      </c>
      <c r="K203" t="s">
        <v>167</v>
      </c>
      <c r="M203" t="s">
        <v>167</v>
      </c>
      <c r="O203" t="s">
        <v>167</v>
      </c>
      <c r="Q203" t="s">
        <v>167</v>
      </c>
      <c r="S203" t="s">
        <v>167</v>
      </c>
      <c r="U203" t="s">
        <v>167</v>
      </c>
      <c r="W203" t="s">
        <v>167</v>
      </c>
      <c r="Y203" t="s">
        <v>167</v>
      </c>
    </row>
    <row r="204">
      <c r="G204" t="s">
        <v>167</v>
      </c>
      <c r="I204" t="s">
        <v>167</v>
      </c>
      <c r="K204" t="s">
        <v>167</v>
      </c>
      <c r="M204" t="s">
        <v>167</v>
      </c>
      <c r="O204" t="s">
        <v>167</v>
      </c>
      <c r="Q204" t="s">
        <v>167</v>
      </c>
      <c r="S204" t="s">
        <v>167</v>
      </c>
      <c r="U204" t="s">
        <v>167</v>
      </c>
      <c r="W204" t="s">
        <v>167</v>
      </c>
      <c r="Y204" t="s">
        <v>167</v>
      </c>
    </row>
    <row r="205">
      <c r="G205" t="s">
        <v>167</v>
      </c>
      <c r="I205" t="s">
        <v>167</v>
      </c>
      <c r="K205" t="s">
        <v>167</v>
      </c>
      <c r="M205" t="s">
        <v>167</v>
      </c>
      <c r="O205" t="s">
        <v>167</v>
      </c>
      <c r="Q205" t="s">
        <v>167</v>
      </c>
      <c r="S205" t="s">
        <v>167</v>
      </c>
      <c r="U205" t="s">
        <v>167</v>
      </c>
      <c r="W205" t="s">
        <v>167</v>
      </c>
      <c r="Y205" t="s">
        <v>167</v>
      </c>
    </row>
    <row r="206">
      <c r="G206" t="s">
        <v>167</v>
      </c>
      <c r="I206" t="s">
        <v>167</v>
      </c>
      <c r="K206" t="s">
        <v>167</v>
      </c>
      <c r="M206" t="s">
        <v>167</v>
      </c>
      <c r="O206" t="s">
        <v>167</v>
      </c>
      <c r="Q206" t="s">
        <v>167</v>
      </c>
      <c r="S206" t="s">
        <v>167</v>
      </c>
      <c r="U206" t="s">
        <v>167</v>
      </c>
      <c r="W206" t="s">
        <v>167</v>
      </c>
      <c r="Y206" t="s">
        <v>167</v>
      </c>
    </row>
    <row r="207">
      <c r="G207" t="s">
        <v>167</v>
      </c>
      <c r="I207" t="s">
        <v>167</v>
      </c>
      <c r="K207" t="s">
        <v>167</v>
      </c>
      <c r="M207" t="s">
        <v>167</v>
      </c>
      <c r="O207" t="s">
        <v>167</v>
      </c>
      <c r="Q207" t="s">
        <v>167</v>
      </c>
      <c r="S207" t="s">
        <v>167</v>
      </c>
      <c r="U207" t="s">
        <v>167</v>
      </c>
      <c r="W207" t="s">
        <v>167</v>
      </c>
      <c r="Y207" t="s">
        <v>167</v>
      </c>
    </row>
    <row r="208">
      <c r="G208" t="s">
        <v>167</v>
      </c>
      <c r="I208" t="s">
        <v>167</v>
      </c>
      <c r="K208" t="s">
        <v>167</v>
      </c>
      <c r="M208" t="s">
        <v>167</v>
      </c>
      <c r="O208" t="s">
        <v>167</v>
      </c>
      <c r="Q208" t="s">
        <v>167</v>
      </c>
      <c r="S208" t="s">
        <v>167</v>
      </c>
      <c r="U208" t="s">
        <v>167</v>
      </c>
      <c r="W208" t="s">
        <v>167</v>
      </c>
      <c r="Y208" t="s">
        <v>167</v>
      </c>
    </row>
    <row r="209">
      <c r="G209" t="s">
        <v>167</v>
      </c>
      <c r="I209" t="s">
        <v>167</v>
      </c>
      <c r="K209" t="s">
        <v>167</v>
      </c>
      <c r="M209" t="s">
        <v>167</v>
      </c>
      <c r="O209" t="s">
        <v>167</v>
      </c>
      <c r="Q209" t="s">
        <v>167</v>
      </c>
      <c r="S209" t="s">
        <v>167</v>
      </c>
      <c r="U209" t="s">
        <v>167</v>
      </c>
      <c r="W209" t="s">
        <v>167</v>
      </c>
      <c r="Y209" t="s">
        <v>167</v>
      </c>
    </row>
    <row r="210">
      <c r="G210" t="s">
        <v>167</v>
      </c>
      <c r="I210" t="s">
        <v>167</v>
      </c>
      <c r="K210" t="s">
        <v>167</v>
      </c>
      <c r="M210" t="s">
        <v>167</v>
      </c>
      <c r="O210" t="s">
        <v>167</v>
      </c>
      <c r="Q210" t="s">
        <v>167</v>
      </c>
      <c r="S210" t="s">
        <v>167</v>
      </c>
      <c r="U210" t="s">
        <v>167</v>
      </c>
      <c r="W210" t="s">
        <v>167</v>
      </c>
      <c r="Y210" t="s">
        <v>167</v>
      </c>
    </row>
    <row r="211">
      <c r="G211" t="s">
        <v>167</v>
      </c>
      <c r="I211" t="s">
        <v>167</v>
      </c>
      <c r="K211" t="s">
        <v>167</v>
      </c>
      <c r="M211" t="s">
        <v>167</v>
      </c>
      <c r="O211" t="s">
        <v>167</v>
      </c>
      <c r="Q211" t="s">
        <v>167</v>
      </c>
      <c r="S211" t="s">
        <v>167</v>
      </c>
      <c r="U211" t="s">
        <v>167</v>
      </c>
      <c r="W211" t="s">
        <v>167</v>
      </c>
      <c r="Y211" t="s">
        <v>167</v>
      </c>
    </row>
    <row r="212">
      <c r="G212" t="s">
        <v>167</v>
      </c>
      <c r="I212" t="s">
        <v>167</v>
      </c>
      <c r="K212" t="s">
        <v>167</v>
      </c>
      <c r="M212" t="s">
        <v>167</v>
      </c>
      <c r="O212" t="s">
        <v>167</v>
      </c>
      <c r="Q212" t="s">
        <v>167</v>
      </c>
      <c r="S212" t="s">
        <v>167</v>
      </c>
      <c r="U212" t="s">
        <v>167</v>
      </c>
      <c r="W212" t="s">
        <v>167</v>
      </c>
      <c r="Y212" t="s">
        <v>167</v>
      </c>
    </row>
    <row r="213">
      <c r="G213" t="s">
        <v>167</v>
      </c>
      <c r="I213" t="s">
        <v>167</v>
      </c>
      <c r="K213" t="s">
        <v>167</v>
      </c>
      <c r="M213" t="s">
        <v>167</v>
      </c>
      <c r="O213" t="s">
        <v>167</v>
      </c>
      <c r="Q213" t="s">
        <v>167</v>
      </c>
      <c r="S213" t="s">
        <v>167</v>
      </c>
      <c r="U213" t="s">
        <v>167</v>
      </c>
      <c r="W213" t="s">
        <v>167</v>
      </c>
      <c r="Y213" t="s">
        <v>167</v>
      </c>
    </row>
    <row r="214">
      <c r="G214" t="s">
        <v>167</v>
      </c>
      <c r="I214" t="s">
        <v>167</v>
      </c>
      <c r="K214" t="s">
        <v>167</v>
      </c>
      <c r="M214" t="s">
        <v>167</v>
      </c>
      <c r="O214" t="s">
        <v>167</v>
      </c>
      <c r="Q214" t="s">
        <v>167</v>
      </c>
      <c r="S214" t="s">
        <v>167</v>
      </c>
      <c r="U214" t="s">
        <v>167</v>
      </c>
      <c r="W214" t="s">
        <v>167</v>
      </c>
      <c r="Y214" t="s">
        <v>167</v>
      </c>
    </row>
    <row r="215">
      <c r="G215" t="s">
        <v>167</v>
      </c>
      <c r="I215" t="s">
        <v>167</v>
      </c>
      <c r="K215" t="s">
        <v>167</v>
      </c>
      <c r="M215" t="s">
        <v>167</v>
      </c>
      <c r="O215" t="s">
        <v>167</v>
      </c>
      <c r="Q215" t="s">
        <v>167</v>
      </c>
      <c r="S215" t="s">
        <v>167</v>
      </c>
      <c r="U215" t="s">
        <v>167</v>
      </c>
      <c r="W215" t="s">
        <v>167</v>
      </c>
      <c r="Y215" t="s">
        <v>167</v>
      </c>
    </row>
    <row r="216">
      <c r="G216" t="s">
        <v>167</v>
      </c>
      <c r="I216" t="s">
        <v>167</v>
      </c>
      <c r="K216" t="s">
        <v>167</v>
      </c>
      <c r="M216" t="s">
        <v>167</v>
      </c>
      <c r="O216" t="s">
        <v>167</v>
      </c>
      <c r="Q216" t="s">
        <v>167</v>
      </c>
      <c r="S216" t="s">
        <v>167</v>
      </c>
      <c r="U216" t="s">
        <v>167</v>
      </c>
      <c r="W216" t="s">
        <v>167</v>
      </c>
      <c r="Y216" t="s">
        <v>167</v>
      </c>
    </row>
    <row r="217">
      <c r="G217" t="s">
        <v>167</v>
      </c>
      <c r="I217" t="s">
        <v>167</v>
      </c>
      <c r="K217" t="s">
        <v>167</v>
      </c>
      <c r="M217" t="s">
        <v>167</v>
      </c>
      <c r="O217" t="s">
        <v>167</v>
      </c>
      <c r="Q217" t="s">
        <v>167</v>
      </c>
      <c r="S217" t="s">
        <v>167</v>
      </c>
      <c r="U217" t="s">
        <v>167</v>
      </c>
      <c r="W217" t="s">
        <v>167</v>
      </c>
      <c r="Y217" t="s">
        <v>167</v>
      </c>
    </row>
    <row r="218">
      <c r="G218" t="s">
        <v>167</v>
      </c>
      <c r="I218" t="s">
        <v>167</v>
      </c>
      <c r="K218" t="s">
        <v>167</v>
      </c>
      <c r="M218" t="s">
        <v>167</v>
      </c>
      <c r="O218" t="s">
        <v>167</v>
      </c>
      <c r="Q218" t="s">
        <v>167</v>
      </c>
      <c r="S218" t="s">
        <v>167</v>
      </c>
      <c r="U218" t="s">
        <v>167</v>
      </c>
      <c r="W218" t="s">
        <v>167</v>
      </c>
      <c r="Y218" t="s">
        <v>167</v>
      </c>
    </row>
    <row r="219">
      <c r="G219" t="s">
        <v>167</v>
      </c>
      <c r="I219" t="s">
        <v>167</v>
      </c>
      <c r="K219" t="s">
        <v>167</v>
      </c>
      <c r="M219" t="s">
        <v>167</v>
      </c>
      <c r="O219" t="s">
        <v>167</v>
      </c>
      <c r="Q219" t="s">
        <v>167</v>
      </c>
      <c r="S219" t="s">
        <v>167</v>
      </c>
      <c r="U219" t="s">
        <v>167</v>
      </c>
      <c r="W219" t="s">
        <v>167</v>
      </c>
      <c r="Y219" t="s">
        <v>167</v>
      </c>
    </row>
    <row r="220">
      <c r="G220" t="s">
        <v>167</v>
      </c>
      <c r="I220" t="s">
        <v>167</v>
      </c>
      <c r="K220" t="s">
        <v>167</v>
      </c>
      <c r="M220" t="s">
        <v>167</v>
      </c>
      <c r="O220" t="s">
        <v>167</v>
      </c>
      <c r="Q220" t="s">
        <v>167</v>
      </c>
      <c r="S220" t="s">
        <v>167</v>
      </c>
      <c r="U220" t="s">
        <v>167</v>
      </c>
      <c r="W220" t="s">
        <v>167</v>
      </c>
      <c r="Y220" t="s">
        <v>167</v>
      </c>
    </row>
    <row r="221">
      <c r="G221" t="s">
        <v>167</v>
      </c>
      <c r="I221" t="s">
        <v>167</v>
      </c>
      <c r="K221" t="s">
        <v>167</v>
      </c>
      <c r="M221" t="s">
        <v>167</v>
      </c>
      <c r="O221" t="s">
        <v>167</v>
      </c>
      <c r="Q221" t="s">
        <v>167</v>
      </c>
      <c r="S221" t="s">
        <v>167</v>
      </c>
      <c r="U221" t="s">
        <v>167</v>
      </c>
      <c r="W221" t="s">
        <v>167</v>
      </c>
      <c r="Y221" t="s">
        <v>167</v>
      </c>
    </row>
    <row r="222">
      <c r="G222" t="s">
        <v>167</v>
      </c>
      <c r="I222" t="s">
        <v>167</v>
      </c>
      <c r="K222" t="s">
        <v>167</v>
      </c>
      <c r="M222" t="s">
        <v>167</v>
      </c>
      <c r="O222" t="s">
        <v>167</v>
      </c>
      <c r="Q222" t="s">
        <v>167</v>
      </c>
      <c r="S222" t="s">
        <v>167</v>
      </c>
      <c r="U222" t="s">
        <v>167</v>
      </c>
      <c r="W222" t="s">
        <v>167</v>
      </c>
      <c r="Y222" t="s">
        <v>167</v>
      </c>
    </row>
    <row r="223">
      <c r="G223" t="s">
        <v>167</v>
      </c>
      <c r="I223" t="s">
        <v>167</v>
      </c>
      <c r="K223" t="s">
        <v>167</v>
      </c>
      <c r="M223" t="s">
        <v>167</v>
      </c>
      <c r="O223" t="s">
        <v>167</v>
      </c>
      <c r="Q223" t="s">
        <v>167</v>
      </c>
      <c r="S223" t="s">
        <v>167</v>
      </c>
      <c r="U223" t="s">
        <v>167</v>
      </c>
      <c r="W223" t="s">
        <v>167</v>
      </c>
      <c r="Y223" t="s">
        <v>167</v>
      </c>
    </row>
    <row r="224">
      <c r="G224" t="s">
        <v>167</v>
      </c>
      <c r="I224" t="s">
        <v>167</v>
      </c>
      <c r="K224" t="s">
        <v>167</v>
      </c>
      <c r="M224" t="s">
        <v>167</v>
      </c>
      <c r="O224" t="s">
        <v>167</v>
      </c>
      <c r="Q224" t="s">
        <v>167</v>
      </c>
      <c r="S224" t="s">
        <v>167</v>
      </c>
      <c r="U224" t="s">
        <v>167</v>
      </c>
      <c r="W224" t="s">
        <v>167</v>
      </c>
      <c r="Y224" t="s">
        <v>167</v>
      </c>
    </row>
    <row r="225">
      <c r="G225" t="s">
        <v>167</v>
      </c>
      <c r="I225" t="s">
        <v>167</v>
      </c>
      <c r="K225" t="s">
        <v>167</v>
      </c>
      <c r="M225" t="s">
        <v>167</v>
      </c>
      <c r="O225" t="s">
        <v>167</v>
      </c>
      <c r="Q225" t="s">
        <v>167</v>
      </c>
      <c r="S225" t="s">
        <v>167</v>
      </c>
      <c r="U225" t="s">
        <v>167</v>
      </c>
      <c r="W225" t="s">
        <v>167</v>
      </c>
      <c r="Y225" t="s">
        <v>167</v>
      </c>
    </row>
    <row r="226">
      <c r="G226" t="s">
        <v>167</v>
      </c>
      <c r="I226" t="s">
        <v>167</v>
      </c>
      <c r="K226" t="s">
        <v>167</v>
      </c>
      <c r="M226" t="s">
        <v>167</v>
      </c>
      <c r="O226" t="s">
        <v>167</v>
      </c>
      <c r="Q226" t="s">
        <v>167</v>
      </c>
      <c r="S226" t="s">
        <v>167</v>
      </c>
      <c r="U226" t="s">
        <v>167</v>
      </c>
      <c r="W226" t="s">
        <v>167</v>
      </c>
      <c r="Y226" t="s">
        <v>167</v>
      </c>
    </row>
    <row r="227">
      <c r="G227" t="s">
        <v>167</v>
      </c>
      <c r="I227" t="s">
        <v>167</v>
      </c>
      <c r="K227" t="s">
        <v>167</v>
      </c>
      <c r="M227" t="s">
        <v>167</v>
      </c>
      <c r="O227" t="s">
        <v>167</v>
      </c>
      <c r="Q227" t="s">
        <v>167</v>
      </c>
      <c r="S227" t="s">
        <v>167</v>
      </c>
      <c r="U227" t="s">
        <v>167</v>
      </c>
      <c r="W227" t="s">
        <v>167</v>
      </c>
      <c r="Y227" t="s">
        <v>167</v>
      </c>
    </row>
    <row r="228">
      <c r="G228" t="s">
        <v>167</v>
      </c>
      <c r="I228" t="s">
        <v>167</v>
      </c>
      <c r="K228" t="s">
        <v>167</v>
      </c>
      <c r="M228" t="s">
        <v>167</v>
      </c>
      <c r="O228" t="s">
        <v>167</v>
      </c>
      <c r="Q228" t="s">
        <v>167</v>
      </c>
      <c r="S228" t="s">
        <v>167</v>
      </c>
      <c r="U228" t="s">
        <v>167</v>
      </c>
      <c r="W228" t="s">
        <v>167</v>
      </c>
      <c r="Y228" t="s">
        <v>167</v>
      </c>
    </row>
    <row r="229">
      <c r="G229" t="s">
        <v>167</v>
      </c>
      <c r="I229" t="s">
        <v>167</v>
      </c>
      <c r="K229" t="s">
        <v>167</v>
      </c>
      <c r="M229" t="s">
        <v>167</v>
      </c>
      <c r="O229" t="s">
        <v>167</v>
      </c>
      <c r="Q229" t="s">
        <v>167</v>
      </c>
      <c r="S229" t="s">
        <v>167</v>
      </c>
      <c r="U229" t="s">
        <v>167</v>
      </c>
      <c r="W229" t="s">
        <v>167</v>
      </c>
      <c r="Y229" t="s">
        <v>167</v>
      </c>
    </row>
    <row r="230">
      <c r="G230" t="s">
        <v>167</v>
      </c>
      <c r="I230" t="s">
        <v>167</v>
      </c>
      <c r="K230" t="s">
        <v>167</v>
      </c>
      <c r="M230" t="s">
        <v>167</v>
      </c>
      <c r="O230" t="s">
        <v>167</v>
      </c>
      <c r="Q230" t="s">
        <v>167</v>
      </c>
      <c r="S230" t="s">
        <v>167</v>
      </c>
      <c r="U230" t="s">
        <v>167</v>
      </c>
      <c r="W230" t="s">
        <v>167</v>
      </c>
      <c r="Y230" t="s">
        <v>167</v>
      </c>
    </row>
    <row r="231">
      <c r="G231" t="s">
        <v>167</v>
      </c>
      <c r="I231" t="s">
        <v>167</v>
      </c>
      <c r="K231" t="s">
        <v>167</v>
      </c>
      <c r="M231" t="s">
        <v>167</v>
      </c>
      <c r="O231" t="s">
        <v>167</v>
      </c>
      <c r="Q231" t="s">
        <v>167</v>
      </c>
      <c r="S231" t="s">
        <v>167</v>
      </c>
      <c r="U231" t="s">
        <v>167</v>
      </c>
      <c r="W231" t="s">
        <v>167</v>
      </c>
      <c r="Y231" t="s">
        <v>167</v>
      </c>
    </row>
    <row r="232">
      <c r="G232" t="s">
        <v>167</v>
      </c>
      <c r="I232" t="s">
        <v>167</v>
      </c>
      <c r="K232" t="s">
        <v>167</v>
      </c>
      <c r="M232" t="s">
        <v>167</v>
      </c>
      <c r="O232" t="s">
        <v>167</v>
      </c>
      <c r="Q232" t="s">
        <v>167</v>
      </c>
      <c r="S232" t="s">
        <v>167</v>
      </c>
      <c r="U232" t="s">
        <v>167</v>
      </c>
      <c r="W232" t="s">
        <v>167</v>
      </c>
      <c r="Y232" t="s">
        <v>167</v>
      </c>
    </row>
    <row r="233">
      <c r="G233" t="s">
        <v>167</v>
      </c>
      <c r="I233" t="s">
        <v>167</v>
      </c>
      <c r="K233" t="s">
        <v>167</v>
      </c>
      <c r="M233" t="s">
        <v>167</v>
      </c>
      <c r="O233" t="s">
        <v>167</v>
      </c>
      <c r="Q233" t="s">
        <v>167</v>
      </c>
      <c r="S233" t="s">
        <v>167</v>
      </c>
      <c r="U233" t="s">
        <v>167</v>
      </c>
      <c r="W233" t="s">
        <v>167</v>
      </c>
      <c r="Y233" t="s">
        <v>167</v>
      </c>
    </row>
    <row r="234">
      <c r="G234" t="s">
        <v>167</v>
      </c>
      <c r="I234" t="s">
        <v>167</v>
      </c>
      <c r="K234" t="s">
        <v>167</v>
      </c>
      <c r="M234" t="s">
        <v>167</v>
      </c>
      <c r="O234" t="s">
        <v>167</v>
      </c>
      <c r="Q234" t="s">
        <v>167</v>
      </c>
      <c r="S234" t="s">
        <v>167</v>
      </c>
      <c r="U234" t="s">
        <v>167</v>
      </c>
      <c r="W234" t="s">
        <v>167</v>
      </c>
      <c r="Y234" t="s">
        <v>167</v>
      </c>
    </row>
    <row r="235">
      <c r="G235" t="s">
        <v>167</v>
      </c>
      <c r="I235" t="s">
        <v>167</v>
      </c>
      <c r="K235" t="s">
        <v>167</v>
      </c>
      <c r="M235" t="s">
        <v>167</v>
      </c>
      <c r="O235" t="s">
        <v>167</v>
      </c>
      <c r="Q235" t="s">
        <v>167</v>
      </c>
      <c r="S235" t="s">
        <v>167</v>
      </c>
      <c r="U235" t="s">
        <v>167</v>
      </c>
      <c r="W235" t="s">
        <v>167</v>
      </c>
      <c r="Y235" t="s">
        <v>167</v>
      </c>
    </row>
    <row r="236">
      <c r="G236" t="s">
        <v>167</v>
      </c>
      <c r="I236" t="s">
        <v>167</v>
      </c>
      <c r="K236" t="s">
        <v>167</v>
      </c>
      <c r="M236" t="s">
        <v>167</v>
      </c>
      <c r="O236" t="s">
        <v>167</v>
      </c>
      <c r="Q236" t="s">
        <v>167</v>
      </c>
      <c r="S236" t="s">
        <v>167</v>
      </c>
      <c r="U236" t="s">
        <v>167</v>
      </c>
      <c r="W236" t="s">
        <v>167</v>
      </c>
      <c r="Y236" t="s">
        <v>167</v>
      </c>
    </row>
    <row r="237">
      <c r="G237" t="s">
        <v>167</v>
      </c>
      <c r="I237" t="s">
        <v>167</v>
      </c>
      <c r="K237" t="s">
        <v>167</v>
      </c>
      <c r="M237" t="s">
        <v>167</v>
      </c>
      <c r="O237" t="s">
        <v>167</v>
      </c>
      <c r="Q237" t="s">
        <v>167</v>
      </c>
      <c r="S237" t="s">
        <v>167</v>
      </c>
      <c r="U237" t="s">
        <v>167</v>
      </c>
      <c r="W237" t="s">
        <v>167</v>
      </c>
      <c r="Y237" t="s">
        <v>167</v>
      </c>
    </row>
    <row r="238">
      <c r="G238" t="s">
        <v>167</v>
      </c>
      <c r="I238" t="s">
        <v>167</v>
      </c>
      <c r="K238" t="s">
        <v>167</v>
      </c>
      <c r="M238" t="s">
        <v>167</v>
      </c>
      <c r="O238" t="s">
        <v>167</v>
      </c>
      <c r="Q238" t="s">
        <v>167</v>
      </c>
      <c r="S238" t="s">
        <v>167</v>
      </c>
      <c r="U238" t="s">
        <v>167</v>
      </c>
      <c r="W238" t="s">
        <v>167</v>
      </c>
      <c r="Y238" t="s">
        <v>167</v>
      </c>
    </row>
    <row r="239">
      <c r="G239" t="s">
        <v>167</v>
      </c>
      <c r="I239" t="s">
        <v>167</v>
      </c>
      <c r="K239" t="s">
        <v>167</v>
      </c>
      <c r="M239" t="s">
        <v>167</v>
      </c>
      <c r="O239" t="s">
        <v>167</v>
      </c>
      <c r="Q239" t="s">
        <v>167</v>
      </c>
      <c r="S239" t="s">
        <v>167</v>
      </c>
      <c r="U239" t="s">
        <v>167</v>
      </c>
      <c r="W239" t="s">
        <v>167</v>
      </c>
      <c r="Y239" t="s">
        <v>167</v>
      </c>
    </row>
    <row r="240">
      <c r="G240" t="s">
        <v>167</v>
      </c>
      <c r="I240" t="s">
        <v>167</v>
      </c>
      <c r="K240" t="s">
        <v>167</v>
      </c>
      <c r="M240" t="s">
        <v>167</v>
      </c>
      <c r="O240" t="s">
        <v>167</v>
      </c>
      <c r="Q240" t="s">
        <v>167</v>
      </c>
      <c r="S240" t="s">
        <v>167</v>
      </c>
      <c r="U240" t="s">
        <v>167</v>
      </c>
      <c r="W240" t="s">
        <v>167</v>
      </c>
      <c r="Y240" t="s">
        <v>167</v>
      </c>
    </row>
    <row r="241">
      <c r="G241" t="s">
        <v>167</v>
      </c>
      <c r="I241" t="s">
        <v>167</v>
      </c>
      <c r="K241" t="s">
        <v>167</v>
      </c>
      <c r="M241" t="s">
        <v>167</v>
      </c>
      <c r="O241" t="s">
        <v>167</v>
      </c>
      <c r="Q241" t="s">
        <v>167</v>
      </c>
      <c r="S241" t="s">
        <v>167</v>
      </c>
      <c r="U241" t="s">
        <v>167</v>
      </c>
      <c r="W241" t="s">
        <v>167</v>
      </c>
      <c r="Y241" t="s">
        <v>167</v>
      </c>
    </row>
    <row r="242">
      <c r="G242" t="s">
        <v>167</v>
      </c>
      <c r="I242" t="s">
        <v>167</v>
      </c>
      <c r="K242" t="s">
        <v>167</v>
      </c>
      <c r="M242" t="s">
        <v>167</v>
      </c>
      <c r="O242" t="s">
        <v>167</v>
      </c>
      <c r="Q242" t="s">
        <v>167</v>
      </c>
      <c r="S242" t="s">
        <v>167</v>
      </c>
      <c r="U242" t="s">
        <v>167</v>
      </c>
      <c r="W242" t="s">
        <v>167</v>
      </c>
      <c r="Y242" t="s">
        <v>167</v>
      </c>
    </row>
    <row r="243">
      <c r="G243" t="s">
        <v>167</v>
      </c>
      <c r="I243" t="s">
        <v>167</v>
      </c>
      <c r="K243" t="s">
        <v>167</v>
      </c>
      <c r="M243" t="s">
        <v>167</v>
      </c>
      <c r="O243" t="s">
        <v>167</v>
      </c>
      <c r="Q243" t="s">
        <v>167</v>
      </c>
      <c r="S243" t="s">
        <v>167</v>
      </c>
      <c r="U243" t="s">
        <v>167</v>
      </c>
      <c r="W243" t="s">
        <v>167</v>
      </c>
      <c r="Y243" t="s">
        <v>167</v>
      </c>
    </row>
    <row r="244">
      <c r="G244" t="s">
        <v>167</v>
      </c>
      <c r="I244" t="s">
        <v>167</v>
      </c>
      <c r="K244" t="s">
        <v>167</v>
      </c>
      <c r="M244" t="s">
        <v>167</v>
      </c>
      <c r="O244" t="s">
        <v>167</v>
      </c>
      <c r="Q244" t="s">
        <v>167</v>
      </c>
      <c r="S244" t="s">
        <v>167</v>
      </c>
      <c r="U244" t="s">
        <v>167</v>
      </c>
      <c r="W244" t="s">
        <v>167</v>
      </c>
      <c r="Y244" t="s">
        <v>167</v>
      </c>
    </row>
    <row r="245">
      <c r="G245" t="s">
        <v>167</v>
      </c>
      <c r="I245" t="s">
        <v>167</v>
      </c>
      <c r="K245" t="s">
        <v>167</v>
      </c>
      <c r="M245" t="s">
        <v>167</v>
      </c>
      <c r="O245" t="s">
        <v>167</v>
      </c>
      <c r="Q245" t="s">
        <v>167</v>
      </c>
      <c r="S245" t="s">
        <v>167</v>
      </c>
      <c r="U245" t="s">
        <v>167</v>
      </c>
      <c r="W245" t="s">
        <v>167</v>
      </c>
      <c r="Y245" t="s">
        <v>167</v>
      </c>
    </row>
    <row r="246">
      <c r="G246" t="s">
        <v>167</v>
      </c>
      <c r="I246" t="s">
        <v>167</v>
      </c>
      <c r="K246" t="s">
        <v>167</v>
      </c>
      <c r="M246" t="s">
        <v>167</v>
      </c>
      <c r="O246" t="s">
        <v>167</v>
      </c>
      <c r="Q246" t="s">
        <v>167</v>
      </c>
      <c r="S246" t="s">
        <v>167</v>
      </c>
      <c r="U246" t="s">
        <v>167</v>
      </c>
      <c r="W246" t="s">
        <v>167</v>
      </c>
      <c r="Y246" t="s">
        <v>167</v>
      </c>
    </row>
    <row r="247">
      <c r="G247" t="s">
        <v>167</v>
      </c>
      <c r="I247" t="s">
        <v>167</v>
      </c>
      <c r="K247" t="s">
        <v>167</v>
      </c>
      <c r="M247" t="s">
        <v>167</v>
      </c>
      <c r="O247" t="s">
        <v>167</v>
      </c>
      <c r="Q247" t="s">
        <v>167</v>
      </c>
      <c r="S247" t="s">
        <v>167</v>
      </c>
      <c r="U247" t="s">
        <v>167</v>
      </c>
      <c r="W247" t="s">
        <v>167</v>
      </c>
      <c r="Y247" t="s">
        <v>167</v>
      </c>
    </row>
    <row r="248">
      <c r="G248" t="s">
        <v>167</v>
      </c>
      <c r="I248" t="s">
        <v>167</v>
      </c>
      <c r="K248" t="s">
        <v>167</v>
      </c>
      <c r="M248" t="s">
        <v>167</v>
      </c>
      <c r="O248" t="s">
        <v>167</v>
      </c>
      <c r="Q248" t="s">
        <v>167</v>
      </c>
      <c r="S248" t="s">
        <v>167</v>
      </c>
      <c r="U248" t="s">
        <v>167</v>
      </c>
      <c r="W248" t="s">
        <v>167</v>
      </c>
      <c r="Y248" t="s">
        <v>167</v>
      </c>
    </row>
    <row r="249">
      <c r="G249" t="s">
        <v>167</v>
      </c>
      <c r="I249" t="s">
        <v>167</v>
      </c>
      <c r="K249" t="s">
        <v>167</v>
      </c>
      <c r="M249" t="s">
        <v>167</v>
      </c>
      <c r="O249" t="s">
        <v>167</v>
      </c>
      <c r="Q249" t="s">
        <v>167</v>
      </c>
      <c r="S249" t="s">
        <v>167</v>
      </c>
      <c r="U249" t="s">
        <v>167</v>
      </c>
      <c r="W249" t="s">
        <v>167</v>
      </c>
      <c r="Y249" t="s">
        <v>167</v>
      </c>
    </row>
    <row r="250">
      <c r="G250" t="s">
        <v>167</v>
      </c>
      <c r="I250" t="s">
        <v>167</v>
      </c>
      <c r="K250" t="s">
        <v>167</v>
      </c>
      <c r="M250" t="s">
        <v>167</v>
      </c>
      <c r="O250" t="s">
        <v>167</v>
      </c>
      <c r="Q250" t="s">
        <v>167</v>
      </c>
      <c r="S250" t="s">
        <v>167</v>
      </c>
      <c r="U250" t="s">
        <v>167</v>
      </c>
      <c r="W250" t="s">
        <v>167</v>
      </c>
      <c r="Y250" t="s">
        <v>167</v>
      </c>
    </row>
    <row r="251">
      <c r="G251" t="s">
        <v>167</v>
      </c>
      <c r="I251" t="s">
        <v>167</v>
      </c>
      <c r="K251" t="s">
        <v>167</v>
      </c>
      <c r="M251" t="s">
        <v>167</v>
      </c>
      <c r="O251" t="s">
        <v>167</v>
      </c>
      <c r="Q251" t="s">
        <v>167</v>
      </c>
      <c r="S251" t="s">
        <v>167</v>
      </c>
      <c r="U251" t="s">
        <v>167</v>
      </c>
      <c r="W251" t="s">
        <v>167</v>
      </c>
      <c r="Y251" t="s">
        <v>167</v>
      </c>
    </row>
    <row r="252">
      <c r="G252" t="s">
        <v>167</v>
      </c>
      <c r="I252" t="s">
        <v>167</v>
      </c>
      <c r="K252" t="s">
        <v>167</v>
      </c>
      <c r="M252" t="s">
        <v>167</v>
      </c>
      <c r="O252" t="s">
        <v>167</v>
      </c>
      <c r="Q252" t="s">
        <v>167</v>
      </c>
      <c r="S252" t="s">
        <v>167</v>
      </c>
      <c r="U252" t="s">
        <v>167</v>
      </c>
      <c r="W252" t="s">
        <v>167</v>
      </c>
      <c r="Y252" t="s">
        <v>167</v>
      </c>
    </row>
    <row r="253">
      <c r="G253" t="s">
        <v>167</v>
      </c>
      <c r="I253" t="s">
        <v>167</v>
      </c>
      <c r="K253" t="s">
        <v>167</v>
      </c>
      <c r="M253" t="s">
        <v>167</v>
      </c>
      <c r="O253" t="s">
        <v>167</v>
      </c>
      <c r="Q253" t="s">
        <v>167</v>
      </c>
      <c r="S253" t="s">
        <v>167</v>
      </c>
      <c r="U253" t="s">
        <v>167</v>
      </c>
      <c r="W253" t="s">
        <v>167</v>
      </c>
      <c r="Y253" t="s">
        <v>167</v>
      </c>
    </row>
    <row r="254">
      <c r="G254" t="s">
        <v>167</v>
      </c>
      <c r="I254" t="s">
        <v>167</v>
      </c>
      <c r="K254" t="s">
        <v>167</v>
      </c>
      <c r="M254" t="s">
        <v>167</v>
      </c>
      <c r="O254" t="s">
        <v>167</v>
      </c>
      <c r="Q254" t="s">
        <v>167</v>
      </c>
      <c r="S254" t="s">
        <v>167</v>
      </c>
      <c r="U254" t="s">
        <v>167</v>
      </c>
      <c r="W254" t="s">
        <v>167</v>
      </c>
      <c r="Y254" t="s">
        <v>167</v>
      </c>
    </row>
    <row r="255">
      <c r="G255" t="s">
        <v>167</v>
      </c>
      <c r="I255" t="s">
        <v>167</v>
      </c>
      <c r="K255" t="s">
        <v>167</v>
      </c>
      <c r="M255" t="s">
        <v>167</v>
      </c>
      <c r="O255" t="s">
        <v>167</v>
      </c>
      <c r="Q255" t="s">
        <v>167</v>
      </c>
      <c r="S255" t="s">
        <v>167</v>
      </c>
      <c r="U255" t="s">
        <v>167</v>
      </c>
      <c r="W255" t="s">
        <v>167</v>
      </c>
      <c r="Y255" t="s">
        <v>167</v>
      </c>
    </row>
    <row r="256">
      <c r="G256" t="s">
        <v>167</v>
      </c>
      <c r="I256" t="s">
        <v>167</v>
      </c>
      <c r="K256" t="s">
        <v>167</v>
      </c>
      <c r="M256" t="s">
        <v>167</v>
      </c>
      <c r="O256" t="s">
        <v>167</v>
      </c>
      <c r="Q256" t="s">
        <v>167</v>
      </c>
      <c r="S256" t="s">
        <v>167</v>
      </c>
      <c r="U256" t="s">
        <v>167</v>
      </c>
      <c r="W256" t="s">
        <v>167</v>
      </c>
      <c r="Y256" t="s">
        <v>167</v>
      </c>
    </row>
    <row r="257">
      <c r="G257" t="s">
        <v>167</v>
      </c>
      <c r="I257" t="s">
        <v>167</v>
      </c>
      <c r="K257" t="s">
        <v>167</v>
      </c>
      <c r="M257" t="s">
        <v>167</v>
      </c>
      <c r="O257" t="s">
        <v>167</v>
      </c>
      <c r="Q257" t="s">
        <v>167</v>
      </c>
      <c r="S257" t="s">
        <v>167</v>
      </c>
      <c r="U257" t="s">
        <v>167</v>
      </c>
      <c r="W257" t="s">
        <v>167</v>
      </c>
      <c r="Y257" t="s">
        <v>167</v>
      </c>
    </row>
    <row r="258">
      <c r="G258" t="s">
        <v>167</v>
      </c>
      <c r="I258" t="s">
        <v>167</v>
      </c>
      <c r="K258" t="s">
        <v>167</v>
      </c>
      <c r="M258" t="s">
        <v>167</v>
      </c>
      <c r="O258" t="s">
        <v>167</v>
      </c>
      <c r="Q258" t="s">
        <v>167</v>
      </c>
      <c r="S258" t="s">
        <v>167</v>
      </c>
      <c r="U258" t="s">
        <v>167</v>
      </c>
      <c r="W258" t="s">
        <v>167</v>
      </c>
      <c r="Y258" t="s">
        <v>167</v>
      </c>
    </row>
    <row r="259">
      <c r="G259" t="s">
        <v>167</v>
      </c>
      <c r="I259" t="s">
        <v>167</v>
      </c>
      <c r="K259" t="s">
        <v>167</v>
      </c>
      <c r="M259" t="s">
        <v>167</v>
      </c>
      <c r="O259" t="s">
        <v>167</v>
      </c>
      <c r="Q259" t="s">
        <v>167</v>
      </c>
      <c r="S259" t="s">
        <v>167</v>
      </c>
      <c r="U259" t="s">
        <v>167</v>
      </c>
      <c r="W259" t="s">
        <v>167</v>
      </c>
      <c r="Y259" t="s">
        <v>167</v>
      </c>
    </row>
    <row r="260">
      <c r="G260" t="s">
        <v>167</v>
      </c>
      <c r="I260" t="s">
        <v>167</v>
      </c>
      <c r="K260" t="s">
        <v>167</v>
      </c>
      <c r="M260" t="s">
        <v>167</v>
      </c>
      <c r="O260" t="s">
        <v>167</v>
      </c>
      <c r="Q260" t="s">
        <v>167</v>
      </c>
      <c r="S260" t="s">
        <v>167</v>
      </c>
      <c r="U260" t="s">
        <v>167</v>
      </c>
      <c r="W260" t="s">
        <v>167</v>
      </c>
      <c r="Y260" t="s">
        <v>167</v>
      </c>
    </row>
    <row r="261">
      <c r="G261" t="s">
        <v>167</v>
      </c>
      <c r="I261" t="s">
        <v>167</v>
      </c>
      <c r="K261" t="s">
        <v>167</v>
      </c>
      <c r="M261" t="s">
        <v>167</v>
      </c>
      <c r="O261" t="s">
        <v>167</v>
      </c>
      <c r="Q261" t="s">
        <v>167</v>
      </c>
      <c r="S261" t="s">
        <v>167</v>
      </c>
      <c r="U261" t="s">
        <v>167</v>
      </c>
      <c r="W261" t="s">
        <v>167</v>
      </c>
      <c r="Y261" t="s">
        <v>167</v>
      </c>
    </row>
    <row r="262">
      <c r="G262" t="s">
        <v>167</v>
      </c>
      <c r="I262" t="s">
        <v>167</v>
      </c>
      <c r="K262" t="s">
        <v>167</v>
      </c>
      <c r="M262" t="s">
        <v>167</v>
      </c>
      <c r="O262" t="s">
        <v>167</v>
      </c>
      <c r="Q262" t="s">
        <v>167</v>
      </c>
      <c r="S262" t="s">
        <v>167</v>
      </c>
      <c r="U262" t="s">
        <v>167</v>
      </c>
      <c r="W262" t="s">
        <v>167</v>
      </c>
      <c r="Y262" t="s">
        <v>167</v>
      </c>
    </row>
    <row r="263">
      <c r="G263" t="s">
        <v>167</v>
      </c>
      <c r="I263" t="s">
        <v>167</v>
      </c>
      <c r="K263" t="s">
        <v>167</v>
      </c>
      <c r="M263" t="s">
        <v>167</v>
      </c>
      <c r="O263" t="s">
        <v>167</v>
      </c>
      <c r="Q263" t="s">
        <v>167</v>
      </c>
      <c r="S263" t="s">
        <v>167</v>
      </c>
      <c r="U263" t="s">
        <v>167</v>
      </c>
      <c r="W263" t="s">
        <v>167</v>
      </c>
      <c r="Y263" t="s">
        <v>167</v>
      </c>
    </row>
    <row r="264">
      <c r="G264" t="s">
        <v>167</v>
      </c>
      <c r="I264" t="s">
        <v>167</v>
      </c>
      <c r="K264" t="s">
        <v>167</v>
      </c>
      <c r="M264" t="s">
        <v>167</v>
      </c>
      <c r="O264" t="s">
        <v>167</v>
      </c>
      <c r="Q264" t="s">
        <v>167</v>
      </c>
      <c r="S264" t="s">
        <v>167</v>
      </c>
      <c r="U264" t="s">
        <v>167</v>
      </c>
      <c r="W264" t="s">
        <v>167</v>
      </c>
      <c r="Y264" t="s">
        <v>167</v>
      </c>
    </row>
    <row r="265">
      <c r="G265" t="s">
        <v>167</v>
      </c>
      <c r="I265" t="s">
        <v>167</v>
      </c>
      <c r="K265" t="s">
        <v>167</v>
      </c>
      <c r="M265" t="s">
        <v>167</v>
      </c>
      <c r="O265" t="s">
        <v>167</v>
      </c>
      <c r="Q265" t="s">
        <v>167</v>
      </c>
      <c r="S265" t="s">
        <v>167</v>
      </c>
      <c r="U265" t="s">
        <v>167</v>
      </c>
      <c r="W265" t="s">
        <v>167</v>
      </c>
      <c r="Y265" t="s">
        <v>167</v>
      </c>
    </row>
    <row r="266">
      <c r="G266" t="s">
        <v>167</v>
      </c>
      <c r="I266" t="s">
        <v>167</v>
      </c>
      <c r="K266" t="s">
        <v>167</v>
      </c>
      <c r="M266" t="s">
        <v>167</v>
      </c>
      <c r="O266" t="s">
        <v>167</v>
      </c>
      <c r="Q266" t="s">
        <v>167</v>
      </c>
      <c r="S266" t="s">
        <v>167</v>
      </c>
      <c r="U266" t="s">
        <v>167</v>
      </c>
      <c r="W266" t="s">
        <v>167</v>
      </c>
      <c r="Y266" t="s">
        <v>167</v>
      </c>
    </row>
    <row r="267">
      <c r="G267" t="s">
        <v>167</v>
      </c>
      <c r="I267" t="s">
        <v>167</v>
      </c>
      <c r="K267" t="s">
        <v>167</v>
      </c>
      <c r="M267" t="s">
        <v>167</v>
      </c>
      <c r="O267" t="s">
        <v>167</v>
      </c>
      <c r="Q267" t="s">
        <v>167</v>
      </c>
      <c r="S267" t="s">
        <v>167</v>
      </c>
      <c r="U267" t="s">
        <v>167</v>
      </c>
      <c r="W267" t="s">
        <v>167</v>
      </c>
      <c r="Y267" t="s">
        <v>167</v>
      </c>
    </row>
    <row r="268">
      <c r="G268" t="s">
        <v>167</v>
      </c>
      <c r="I268" t="s">
        <v>167</v>
      </c>
      <c r="K268" t="s">
        <v>167</v>
      </c>
      <c r="M268" t="s">
        <v>167</v>
      </c>
      <c r="O268" t="s">
        <v>167</v>
      </c>
      <c r="Q268" t="s">
        <v>167</v>
      </c>
      <c r="S268" t="s">
        <v>167</v>
      </c>
      <c r="U268" t="s">
        <v>167</v>
      </c>
      <c r="W268" t="s">
        <v>167</v>
      </c>
      <c r="Y268" t="s">
        <v>167</v>
      </c>
    </row>
    <row r="269">
      <c r="G269" t="s">
        <v>167</v>
      </c>
      <c r="I269" t="s">
        <v>167</v>
      </c>
      <c r="K269" t="s">
        <v>167</v>
      </c>
      <c r="M269" t="s">
        <v>167</v>
      </c>
      <c r="O269" t="s">
        <v>167</v>
      </c>
      <c r="Q269" t="s">
        <v>167</v>
      </c>
      <c r="S269" t="s">
        <v>167</v>
      </c>
      <c r="U269" t="s">
        <v>167</v>
      </c>
      <c r="W269" t="s">
        <v>167</v>
      </c>
      <c r="Y269" t="s">
        <v>167</v>
      </c>
    </row>
    <row r="270">
      <c r="G270" t="s">
        <v>167</v>
      </c>
      <c r="I270" t="s">
        <v>167</v>
      </c>
      <c r="K270" t="s">
        <v>167</v>
      </c>
      <c r="M270" t="s">
        <v>167</v>
      </c>
      <c r="O270" t="s">
        <v>167</v>
      </c>
      <c r="Q270" t="s">
        <v>167</v>
      </c>
      <c r="S270" t="s">
        <v>167</v>
      </c>
      <c r="U270" t="s">
        <v>167</v>
      </c>
      <c r="W270" t="s">
        <v>167</v>
      </c>
      <c r="Y270" t="s">
        <v>167</v>
      </c>
    </row>
    <row r="271">
      <c r="G271" t="s">
        <v>167</v>
      </c>
      <c r="I271" t="s">
        <v>167</v>
      </c>
      <c r="K271" t="s">
        <v>167</v>
      </c>
      <c r="M271" t="s">
        <v>167</v>
      </c>
      <c r="O271" t="s">
        <v>167</v>
      </c>
      <c r="Q271" t="s">
        <v>167</v>
      </c>
      <c r="S271" t="s">
        <v>167</v>
      </c>
      <c r="U271" t="s">
        <v>167</v>
      </c>
      <c r="W271" t="s">
        <v>167</v>
      </c>
      <c r="Y271" t="s">
        <v>167</v>
      </c>
    </row>
    <row r="272">
      <c r="G272" t="s">
        <v>167</v>
      </c>
      <c r="I272" t="s">
        <v>167</v>
      </c>
      <c r="K272" t="s">
        <v>167</v>
      </c>
      <c r="M272" t="s">
        <v>167</v>
      </c>
      <c r="O272" t="s">
        <v>167</v>
      </c>
      <c r="Q272" t="s">
        <v>167</v>
      </c>
      <c r="S272" t="s">
        <v>167</v>
      </c>
      <c r="U272" t="s">
        <v>167</v>
      </c>
      <c r="W272" t="s">
        <v>167</v>
      </c>
      <c r="Y272" t="s">
        <v>167</v>
      </c>
    </row>
    <row r="273">
      <c r="G273" t="s">
        <v>167</v>
      </c>
      <c r="I273" t="s">
        <v>167</v>
      </c>
      <c r="K273" t="s">
        <v>167</v>
      </c>
      <c r="M273" t="s">
        <v>167</v>
      </c>
      <c r="O273" t="s">
        <v>167</v>
      </c>
      <c r="Q273" t="s">
        <v>167</v>
      </c>
      <c r="S273" t="s">
        <v>167</v>
      </c>
      <c r="U273" t="s">
        <v>167</v>
      </c>
      <c r="W273" t="s">
        <v>167</v>
      </c>
      <c r="Y273" t="s">
        <v>167</v>
      </c>
    </row>
    <row r="274">
      <c r="G274" t="s">
        <v>167</v>
      </c>
      <c r="I274" t="s">
        <v>167</v>
      </c>
      <c r="K274" t="s">
        <v>167</v>
      </c>
      <c r="M274" t="s">
        <v>167</v>
      </c>
      <c r="O274" t="s">
        <v>167</v>
      </c>
      <c r="Q274" t="s">
        <v>167</v>
      </c>
      <c r="S274" t="s">
        <v>167</v>
      </c>
      <c r="U274" t="s">
        <v>167</v>
      </c>
      <c r="W274" t="s">
        <v>167</v>
      </c>
      <c r="Y274" t="s">
        <v>167</v>
      </c>
    </row>
    <row r="275">
      <c r="G275" t="s">
        <v>167</v>
      </c>
      <c r="I275" t="s">
        <v>167</v>
      </c>
      <c r="K275" t="s">
        <v>167</v>
      </c>
      <c r="M275" t="s">
        <v>167</v>
      </c>
      <c r="O275" t="s">
        <v>167</v>
      </c>
      <c r="Q275" t="s">
        <v>167</v>
      </c>
      <c r="S275" t="s">
        <v>167</v>
      </c>
      <c r="U275" t="s">
        <v>167</v>
      </c>
      <c r="W275" t="s">
        <v>167</v>
      </c>
      <c r="Y275" t="s">
        <v>167</v>
      </c>
    </row>
    <row r="276">
      <c r="G276" t="s">
        <v>167</v>
      </c>
      <c r="I276" t="s">
        <v>167</v>
      </c>
      <c r="K276" t="s">
        <v>167</v>
      </c>
      <c r="M276" t="s">
        <v>167</v>
      </c>
      <c r="O276" t="s">
        <v>167</v>
      </c>
      <c r="Q276" t="s">
        <v>167</v>
      </c>
      <c r="S276" t="s">
        <v>167</v>
      </c>
      <c r="U276" t="s">
        <v>167</v>
      </c>
      <c r="W276" t="s">
        <v>167</v>
      </c>
      <c r="Y276" t="s">
        <v>167</v>
      </c>
    </row>
    <row r="277">
      <c r="G277" t="s">
        <v>167</v>
      </c>
      <c r="I277" t="s">
        <v>167</v>
      </c>
      <c r="K277" t="s">
        <v>167</v>
      </c>
      <c r="M277" t="s">
        <v>167</v>
      </c>
      <c r="O277" t="s">
        <v>167</v>
      </c>
      <c r="Q277" t="s">
        <v>167</v>
      </c>
      <c r="S277" t="s">
        <v>167</v>
      </c>
      <c r="U277" t="s">
        <v>167</v>
      </c>
      <c r="W277" t="s">
        <v>167</v>
      </c>
      <c r="Y277" t="s">
        <v>167</v>
      </c>
    </row>
    <row r="278">
      <c r="G278" t="s">
        <v>167</v>
      </c>
      <c r="I278" t="s">
        <v>167</v>
      </c>
      <c r="K278" t="s">
        <v>167</v>
      </c>
      <c r="M278" t="s">
        <v>167</v>
      </c>
      <c r="O278" t="s">
        <v>167</v>
      </c>
      <c r="Q278" t="s">
        <v>167</v>
      </c>
      <c r="S278" t="s">
        <v>167</v>
      </c>
      <c r="U278" t="s">
        <v>167</v>
      </c>
      <c r="W278" t="s">
        <v>167</v>
      </c>
      <c r="Y278" t="s">
        <v>167</v>
      </c>
    </row>
    <row r="279">
      <c r="G279" t="s">
        <v>167</v>
      </c>
      <c r="I279" t="s">
        <v>167</v>
      </c>
      <c r="K279" t="s">
        <v>167</v>
      </c>
      <c r="M279" t="s">
        <v>167</v>
      </c>
      <c r="O279" t="s">
        <v>167</v>
      </c>
      <c r="Q279" t="s">
        <v>167</v>
      </c>
      <c r="S279" t="s">
        <v>167</v>
      </c>
      <c r="U279" t="s">
        <v>167</v>
      </c>
      <c r="W279" t="s">
        <v>167</v>
      </c>
      <c r="Y279" t="s">
        <v>167</v>
      </c>
    </row>
    <row r="280">
      <c r="G280" t="s">
        <v>167</v>
      </c>
      <c r="I280" t="s">
        <v>167</v>
      </c>
      <c r="K280" t="s">
        <v>167</v>
      </c>
      <c r="M280" t="s">
        <v>167</v>
      </c>
      <c r="O280" t="s">
        <v>167</v>
      </c>
      <c r="Q280" t="s">
        <v>167</v>
      </c>
      <c r="S280" t="s">
        <v>167</v>
      </c>
      <c r="U280" t="s">
        <v>167</v>
      </c>
      <c r="W280" t="s">
        <v>167</v>
      </c>
      <c r="Y280" t="s">
        <v>167</v>
      </c>
    </row>
    <row r="281">
      <c r="G281" t="s">
        <v>167</v>
      </c>
      <c r="I281" t="s">
        <v>167</v>
      </c>
      <c r="K281" t="s">
        <v>167</v>
      </c>
      <c r="M281" t="s">
        <v>167</v>
      </c>
      <c r="O281" t="s">
        <v>167</v>
      </c>
      <c r="Q281" t="s">
        <v>167</v>
      </c>
      <c r="S281" t="s">
        <v>167</v>
      </c>
      <c r="U281" t="s">
        <v>167</v>
      </c>
      <c r="W281" t="s">
        <v>167</v>
      </c>
      <c r="Y281" t="s">
        <v>167</v>
      </c>
    </row>
    <row r="282">
      <c r="G282" t="s">
        <v>167</v>
      </c>
      <c r="I282" t="s">
        <v>167</v>
      </c>
      <c r="K282" t="s">
        <v>167</v>
      </c>
      <c r="M282" t="s">
        <v>167</v>
      </c>
      <c r="O282" t="s">
        <v>167</v>
      </c>
      <c r="Q282" t="s">
        <v>167</v>
      </c>
      <c r="S282" t="s">
        <v>167</v>
      </c>
      <c r="U282" t="s">
        <v>167</v>
      </c>
      <c r="W282" t="s">
        <v>167</v>
      </c>
      <c r="Y282" t="s">
        <v>167</v>
      </c>
    </row>
    <row r="283">
      <c r="G283" t="s">
        <v>167</v>
      </c>
      <c r="I283" t="s">
        <v>167</v>
      </c>
      <c r="K283" t="s">
        <v>167</v>
      </c>
      <c r="M283" t="s">
        <v>167</v>
      </c>
      <c r="O283" t="s">
        <v>167</v>
      </c>
      <c r="Q283" t="s">
        <v>167</v>
      </c>
      <c r="S283" t="s">
        <v>167</v>
      </c>
      <c r="U283" t="s">
        <v>167</v>
      </c>
      <c r="W283" t="s">
        <v>167</v>
      </c>
      <c r="Y283" t="s">
        <v>167</v>
      </c>
    </row>
    <row r="284">
      <c r="G284" t="s">
        <v>167</v>
      </c>
      <c r="I284" t="s">
        <v>167</v>
      </c>
      <c r="K284" t="s">
        <v>167</v>
      </c>
      <c r="M284" t="s">
        <v>167</v>
      </c>
      <c r="O284" t="s">
        <v>167</v>
      </c>
      <c r="Q284" t="s">
        <v>167</v>
      </c>
      <c r="S284" t="s">
        <v>167</v>
      </c>
      <c r="U284" t="s">
        <v>167</v>
      </c>
      <c r="W284" t="s">
        <v>167</v>
      </c>
      <c r="Y284" t="s">
        <v>167</v>
      </c>
    </row>
    <row r="285">
      <c r="G285" t="s">
        <v>167</v>
      </c>
      <c r="I285" t="s">
        <v>167</v>
      </c>
      <c r="K285" t="s">
        <v>167</v>
      </c>
      <c r="M285" t="s">
        <v>167</v>
      </c>
      <c r="O285" t="s">
        <v>167</v>
      </c>
      <c r="Q285" t="s">
        <v>167</v>
      </c>
      <c r="S285" t="s">
        <v>167</v>
      </c>
      <c r="U285" t="s">
        <v>167</v>
      </c>
      <c r="W285" t="s">
        <v>167</v>
      </c>
      <c r="Y285" t="s">
        <v>167</v>
      </c>
    </row>
    <row r="286">
      <c r="G286" t="s">
        <v>167</v>
      </c>
      <c r="I286" t="s">
        <v>167</v>
      </c>
      <c r="K286" t="s">
        <v>167</v>
      </c>
      <c r="M286" t="s">
        <v>167</v>
      </c>
      <c r="O286" t="s">
        <v>167</v>
      </c>
      <c r="Q286" t="s">
        <v>167</v>
      </c>
      <c r="S286" t="s">
        <v>167</v>
      </c>
      <c r="U286" t="s">
        <v>167</v>
      </c>
      <c r="W286" t="s">
        <v>167</v>
      </c>
      <c r="Y286" t="s">
        <v>167</v>
      </c>
    </row>
    <row r="287">
      <c r="G287" t="s">
        <v>167</v>
      </c>
      <c r="I287" t="s">
        <v>167</v>
      </c>
      <c r="K287" t="s">
        <v>167</v>
      </c>
      <c r="M287" t="s">
        <v>167</v>
      </c>
      <c r="O287" t="s">
        <v>167</v>
      </c>
      <c r="Q287" t="s">
        <v>167</v>
      </c>
      <c r="S287" t="s">
        <v>167</v>
      </c>
      <c r="U287" t="s">
        <v>167</v>
      </c>
      <c r="W287" t="s">
        <v>167</v>
      </c>
      <c r="Y287" t="s">
        <v>167</v>
      </c>
    </row>
    <row r="288">
      <c r="G288" t="s">
        <v>167</v>
      </c>
      <c r="I288" t="s">
        <v>167</v>
      </c>
      <c r="K288" t="s">
        <v>167</v>
      </c>
      <c r="M288" t="s">
        <v>167</v>
      </c>
      <c r="O288" t="s">
        <v>167</v>
      </c>
      <c r="Q288" t="s">
        <v>167</v>
      </c>
      <c r="S288" t="s">
        <v>167</v>
      </c>
      <c r="U288" t="s">
        <v>167</v>
      </c>
      <c r="W288" t="s">
        <v>167</v>
      </c>
      <c r="Y288" t="s">
        <v>167</v>
      </c>
    </row>
    <row r="289">
      <c r="G289" t="s">
        <v>167</v>
      </c>
      <c r="I289" t="s">
        <v>167</v>
      </c>
      <c r="K289" t="s">
        <v>167</v>
      </c>
      <c r="M289" t="s">
        <v>167</v>
      </c>
      <c r="O289" t="s">
        <v>167</v>
      </c>
      <c r="Q289" t="s">
        <v>167</v>
      </c>
      <c r="S289" t="s">
        <v>167</v>
      </c>
      <c r="U289" t="s">
        <v>167</v>
      </c>
      <c r="W289" t="s">
        <v>167</v>
      </c>
      <c r="Y289" t="s">
        <v>167</v>
      </c>
    </row>
    <row r="290">
      <c r="G290" t="s">
        <v>167</v>
      </c>
      <c r="I290" t="s">
        <v>167</v>
      </c>
      <c r="K290" t="s">
        <v>167</v>
      </c>
      <c r="M290" t="s">
        <v>167</v>
      </c>
      <c r="O290" t="s">
        <v>167</v>
      </c>
      <c r="Q290" t="s">
        <v>167</v>
      </c>
      <c r="S290" t="s">
        <v>167</v>
      </c>
      <c r="U290" t="s">
        <v>167</v>
      </c>
      <c r="W290" t="s">
        <v>167</v>
      </c>
      <c r="Y290" t="s">
        <v>167</v>
      </c>
    </row>
    <row r="291">
      <c r="G291" t="s">
        <v>167</v>
      </c>
      <c r="I291" t="s">
        <v>167</v>
      </c>
      <c r="K291" t="s">
        <v>167</v>
      </c>
      <c r="M291" t="s">
        <v>167</v>
      </c>
      <c r="O291" t="s">
        <v>167</v>
      </c>
      <c r="Q291" t="s">
        <v>167</v>
      </c>
      <c r="S291" t="s">
        <v>167</v>
      </c>
      <c r="U291" t="s">
        <v>167</v>
      </c>
      <c r="W291" t="s">
        <v>167</v>
      </c>
      <c r="Y291" t="s">
        <v>167</v>
      </c>
    </row>
    <row r="292">
      <c r="G292" t="s">
        <v>167</v>
      </c>
      <c r="I292" t="s">
        <v>167</v>
      </c>
      <c r="K292" t="s">
        <v>167</v>
      </c>
      <c r="M292" t="s">
        <v>167</v>
      </c>
      <c r="O292" t="s">
        <v>167</v>
      </c>
      <c r="Q292" t="s">
        <v>167</v>
      </c>
      <c r="S292" t="s">
        <v>167</v>
      </c>
      <c r="U292" t="s">
        <v>167</v>
      </c>
      <c r="W292" t="s">
        <v>167</v>
      </c>
      <c r="Y292" t="s">
        <v>167</v>
      </c>
    </row>
    <row r="293">
      <c r="G293" t="s">
        <v>167</v>
      </c>
      <c r="I293" t="s">
        <v>167</v>
      </c>
      <c r="K293" t="s">
        <v>167</v>
      </c>
      <c r="M293" t="s">
        <v>167</v>
      </c>
      <c r="O293" t="s">
        <v>167</v>
      </c>
      <c r="Q293" t="s">
        <v>167</v>
      </c>
      <c r="S293" t="s">
        <v>167</v>
      </c>
      <c r="U293" t="s">
        <v>167</v>
      </c>
      <c r="W293" t="s">
        <v>167</v>
      </c>
      <c r="Y293" t="s">
        <v>167</v>
      </c>
    </row>
    <row r="294">
      <c r="G294" t="s">
        <v>167</v>
      </c>
      <c r="I294" t="s">
        <v>167</v>
      </c>
      <c r="K294" t="s">
        <v>167</v>
      </c>
      <c r="M294" t="s">
        <v>167</v>
      </c>
      <c r="O294" t="s">
        <v>167</v>
      </c>
      <c r="Q294" t="s">
        <v>167</v>
      </c>
      <c r="S294" t="s">
        <v>167</v>
      </c>
      <c r="U294" t="s">
        <v>167</v>
      </c>
      <c r="W294" t="s">
        <v>167</v>
      </c>
      <c r="Y294" t="s">
        <v>167</v>
      </c>
    </row>
    <row r="295">
      <c r="G295" t="s">
        <v>167</v>
      </c>
      <c r="I295" t="s">
        <v>167</v>
      </c>
      <c r="K295" t="s">
        <v>167</v>
      </c>
      <c r="M295" t="s">
        <v>167</v>
      </c>
      <c r="O295" t="s">
        <v>167</v>
      </c>
      <c r="Q295" t="s">
        <v>167</v>
      </c>
      <c r="S295" t="s">
        <v>167</v>
      </c>
      <c r="U295" t="s">
        <v>167</v>
      </c>
      <c r="W295" t="s">
        <v>167</v>
      </c>
      <c r="Y295" t="s">
        <v>167</v>
      </c>
    </row>
    <row r="296">
      <c r="G296" t="s">
        <v>167</v>
      </c>
      <c r="I296" t="s">
        <v>167</v>
      </c>
      <c r="K296" t="s">
        <v>167</v>
      </c>
      <c r="M296" t="s">
        <v>167</v>
      </c>
      <c r="O296" t="s">
        <v>167</v>
      </c>
      <c r="Q296" t="s">
        <v>167</v>
      </c>
      <c r="S296" t="s">
        <v>167</v>
      </c>
      <c r="U296" t="s">
        <v>167</v>
      </c>
      <c r="W296" t="s">
        <v>167</v>
      </c>
      <c r="Y296" t="s">
        <v>167</v>
      </c>
    </row>
    <row r="297">
      <c r="G297" t="s">
        <v>167</v>
      </c>
      <c r="I297" t="s">
        <v>167</v>
      </c>
      <c r="K297" t="s">
        <v>167</v>
      </c>
      <c r="M297" t="s">
        <v>167</v>
      </c>
      <c r="O297" t="s">
        <v>167</v>
      </c>
      <c r="Q297" t="s">
        <v>167</v>
      </c>
      <c r="S297" t="s">
        <v>167</v>
      </c>
      <c r="U297" t="s">
        <v>167</v>
      </c>
      <c r="W297" t="s">
        <v>167</v>
      </c>
      <c r="Y297" t="s">
        <v>167</v>
      </c>
    </row>
    <row r="298">
      <c r="G298" t="s">
        <v>167</v>
      </c>
      <c r="I298" t="s">
        <v>167</v>
      </c>
      <c r="K298" t="s">
        <v>167</v>
      </c>
      <c r="M298" t="s">
        <v>167</v>
      </c>
      <c r="O298" t="s">
        <v>167</v>
      </c>
      <c r="Q298" t="s">
        <v>167</v>
      </c>
      <c r="S298" t="s">
        <v>167</v>
      </c>
      <c r="U298" t="s">
        <v>167</v>
      </c>
      <c r="W298" t="s">
        <v>167</v>
      </c>
      <c r="Y298" t="s">
        <v>167</v>
      </c>
    </row>
    <row r="299">
      <c r="G299" t="s">
        <v>167</v>
      </c>
      <c r="I299" t="s">
        <v>167</v>
      </c>
      <c r="K299" t="s">
        <v>167</v>
      </c>
      <c r="M299" t="s">
        <v>167</v>
      </c>
      <c r="O299" t="s">
        <v>167</v>
      </c>
      <c r="Q299" t="s">
        <v>167</v>
      </c>
      <c r="S299" t="s">
        <v>167</v>
      </c>
      <c r="U299" t="s">
        <v>167</v>
      </c>
      <c r="W299" t="s">
        <v>167</v>
      </c>
      <c r="Y299" t="s">
        <v>167</v>
      </c>
    </row>
    <row r="300">
      <c r="G300" t="s">
        <v>167</v>
      </c>
      <c r="I300" t="s">
        <v>167</v>
      </c>
      <c r="K300" t="s">
        <v>167</v>
      </c>
      <c r="M300" t="s">
        <v>167</v>
      </c>
      <c r="O300" t="s">
        <v>167</v>
      </c>
      <c r="Q300" t="s">
        <v>167</v>
      </c>
      <c r="S300" t="s">
        <v>167</v>
      </c>
      <c r="U300" t="s">
        <v>167</v>
      </c>
      <c r="W300" t="s">
        <v>167</v>
      </c>
      <c r="Y300" t="s">
        <v>167</v>
      </c>
    </row>
    <row r="301">
      <c r="G301" t="s">
        <v>167</v>
      </c>
      <c r="I301" t="s">
        <v>167</v>
      </c>
      <c r="K301" t="s">
        <v>167</v>
      </c>
      <c r="M301" t="s">
        <v>167</v>
      </c>
      <c r="O301" t="s">
        <v>167</v>
      </c>
      <c r="Q301" t="s">
        <v>167</v>
      </c>
      <c r="S301" t="s">
        <v>167</v>
      </c>
      <c r="U301" t="s">
        <v>167</v>
      </c>
      <c r="W301" t="s">
        <v>167</v>
      </c>
      <c r="Y301" t="s">
        <v>167</v>
      </c>
    </row>
    <row r="302">
      <c r="G302" t="s">
        <v>167</v>
      </c>
      <c r="I302" t="s">
        <v>167</v>
      </c>
      <c r="K302" t="s">
        <v>167</v>
      </c>
      <c r="M302" t="s">
        <v>167</v>
      </c>
      <c r="O302" t="s">
        <v>167</v>
      </c>
      <c r="Q302" t="s">
        <v>167</v>
      </c>
      <c r="S302" t="s">
        <v>167</v>
      </c>
      <c r="U302" t="s">
        <v>167</v>
      </c>
      <c r="W302" t="s">
        <v>167</v>
      </c>
      <c r="Y302" t="s">
        <v>167</v>
      </c>
    </row>
    <row r="303">
      <c r="G303" t="s">
        <v>167</v>
      </c>
      <c r="I303" t="s">
        <v>167</v>
      </c>
      <c r="K303" t="s">
        <v>167</v>
      </c>
      <c r="M303" t="s">
        <v>167</v>
      </c>
      <c r="O303" t="s">
        <v>167</v>
      </c>
      <c r="Q303" t="s">
        <v>167</v>
      </c>
      <c r="S303" t="s">
        <v>167</v>
      </c>
      <c r="U303" t="s">
        <v>167</v>
      </c>
      <c r="W303" t="s">
        <v>167</v>
      </c>
      <c r="Y303" t="s">
        <v>167</v>
      </c>
    </row>
    <row r="304">
      <c r="G304" t="s">
        <v>167</v>
      </c>
      <c r="I304" t="s">
        <v>167</v>
      </c>
      <c r="K304" t="s">
        <v>167</v>
      </c>
      <c r="M304" t="s">
        <v>167</v>
      </c>
      <c r="O304" t="s">
        <v>167</v>
      </c>
      <c r="Q304" t="s">
        <v>167</v>
      </c>
      <c r="S304" t="s">
        <v>167</v>
      </c>
      <c r="U304" t="s">
        <v>167</v>
      </c>
      <c r="W304" t="s">
        <v>167</v>
      </c>
      <c r="Y304" t="s">
        <v>167</v>
      </c>
    </row>
    <row r="305">
      <c r="G305" t="s">
        <v>167</v>
      </c>
      <c r="I305" t="s">
        <v>167</v>
      </c>
      <c r="K305" t="s">
        <v>167</v>
      </c>
      <c r="M305" t="s">
        <v>167</v>
      </c>
      <c r="O305" t="s">
        <v>167</v>
      </c>
      <c r="Q305" t="s">
        <v>167</v>
      </c>
      <c r="S305" t="s">
        <v>167</v>
      </c>
      <c r="U305" t="s">
        <v>167</v>
      </c>
      <c r="W305" t="s">
        <v>167</v>
      </c>
      <c r="Y305" t="s">
        <v>167</v>
      </c>
    </row>
    <row r="306">
      <c r="G306" t="s">
        <v>167</v>
      </c>
      <c r="I306" t="s">
        <v>167</v>
      </c>
      <c r="K306" t="s">
        <v>167</v>
      </c>
      <c r="M306" t="s">
        <v>167</v>
      </c>
      <c r="O306" t="s">
        <v>167</v>
      </c>
      <c r="Q306" t="s">
        <v>167</v>
      </c>
      <c r="S306" t="s">
        <v>167</v>
      </c>
      <c r="U306" t="s">
        <v>167</v>
      </c>
      <c r="W306" t="s">
        <v>167</v>
      </c>
      <c r="Y306" t="s">
        <v>167</v>
      </c>
    </row>
    <row r="307">
      <c r="G307" t="s">
        <v>167</v>
      </c>
      <c r="I307" t="s">
        <v>167</v>
      </c>
      <c r="K307" t="s">
        <v>167</v>
      </c>
      <c r="M307" t="s">
        <v>167</v>
      </c>
      <c r="O307" t="s">
        <v>167</v>
      </c>
      <c r="Q307" t="s">
        <v>167</v>
      </c>
      <c r="S307" t="s">
        <v>167</v>
      </c>
      <c r="U307" t="s">
        <v>167</v>
      </c>
      <c r="W307" t="s">
        <v>167</v>
      </c>
      <c r="Y307" t="s">
        <v>167</v>
      </c>
    </row>
    <row r="308">
      <c r="G308" t="s">
        <v>167</v>
      </c>
      <c r="I308" t="s">
        <v>167</v>
      </c>
      <c r="K308" t="s">
        <v>167</v>
      </c>
      <c r="M308" t="s">
        <v>167</v>
      </c>
      <c r="O308" t="s">
        <v>167</v>
      </c>
      <c r="Q308" t="s">
        <v>167</v>
      </c>
      <c r="S308" t="s">
        <v>167</v>
      </c>
      <c r="U308" t="s">
        <v>167</v>
      </c>
      <c r="W308" t="s">
        <v>167</v>
      </c>
      <c r="Y308" t="s">
        <v>167</v>
      </c>
    </row>
    <row r="309">
      <c r="G309" t="s">
        <v>167</v>
      </c>
      <c r="I309" t="s">
        <v>167</v>
      </c>
      <c r="K309" t="s">
        <v>167</v>
      </c>
      <c r="M309" t="s">
        <v>167</v>
      </c>
      <c r="O309" t="s">
        <v>167</v>
      </c>
      <c r="Q309" t="s">
        <v>167</v>
      </c>
      <c r="S309" t="s">
        <v>167</v>
      </c>
      <c r="U309" t="s">
        <v>167</v>
      </c>
      <c r="W309" t="s">
        <v>167</v>
      </c>
      <c r="Y309" t="s">
        <v>167</v>
      </c>
    </row>
    <row r="310">
      <c r="G310" t="s">
        <v>167</v>
      </c>
      <c r="I310" t="s">
        <v>167</v>
      </c>
      <c r="K310" t="s">
        <v>167</v>
      </c>
      <c r="M310" t="s">
        <v>167</v>
      </c>
      <c r="O310" t="s">
        <v>167</v>
      </c>
      <c r="Q310" t="s">
        <v>167</v>
      </c>
      <c r="S310" t="s">
        <v>167</v>
      </c>
      <c r="U310" t="s">
        <v>167</v>
      </c>
      <c r="W310" t="s">
        <v>167</v>
      </c>
      <c r="Y310" t="s">
        <v>167</v>
      </c>
    </row>
    <row r="311">
      <c r="G311" t="s">
        <v>167</v>
      </c>
      <c r="I311" t="s">
        <v>167</v>
      </c>
      <c r="K311" t="s">
        <v>167</v>
      </c>
      <c r="M311" t="s">
        <v>167</v>
      </c>
      <c r="O311" t="s">
        <v>167</v>
      </c>
      <c r="Q311" t="s">
        <v>167</v>
      </c>
      <c r="S311" t="s">
        <v>167</v>
      </c>
      <c r="U311" t="s">
        <v>167</v>
      </c>
      <c r="W311" t="s">
        <v>167</v>
      </c>
      <c r="Y311" t="s">
        <v>167</v>
      </c>
    </row>
    <row r="312">
      <c r="G312" t="s">
        <v>167</v>
      </c>
      <c r="I312" t="s">
        <v>167</v>
      </c>
      <c r="K312" t="s">
        <v>167</v>
      </c>
      <c r="M312" t="s">
        <v>167</v>
      </c>
      <c r="O312" t="s">
        <v>167</v>
      </c>
      <c r="Q312" t="s">
        <v>167</v>
      </c>
      <c r="S312" t="s">
        <v>167</v>
      </c>
      <c r="U312" t="s">
        <v>167</v>
      </c>
      <c r="W312" t="s">
        <v>167</v>
      </c>
      <c r="Y312" t="s">
        <v>167</v>
      </c>
    </row>
    <row r="313">
      <c r="G313" t="s">
        <v>167</v>
      </c>
      <c r="I313" t="s">
        <v>167</v>
      </c>
      <c r="K313" t="s">
        <v>167</v>
      </c>
      <c r="M313" t="s">
        <v>167</v>
      </c>
      <c r="O313" t="s">
        <v>167</v>
      </c>
      <c r="Q313" t="s">
        <v>167</v>
      </c>
      <c r="S313" t="s">
        <v>167</v>
      </c>
      <c r="U313" t="s">
        <v>167</v>
      </c>
      <c r="W313" t="s">
        <v>167</v>
      </c>
      <c r="Y313" t="s">
        <v>167</v>
      </c>
    </row>
    <row r="314">
      <c r="G314" t="s">
        <v>167</v>
      </c>
      <c r="I314" t="s">
        <v>167</v>
      </c>
      <c r="K314" t="s">
        <v>167</v>
      </c>
      <c r="M314" t="s">
        <v>167</v>
      </c>
      <c r="O314" t="s">
        <v>167</v>
      </c>
      <c r="Q314" t="s">
        <v>167</v>
      </c>
      <c r="S314" t="s">
        <v>167</v>
      </c>
      <c r="U314" t="s">
        <v>167</v>
      </c>
      <c r="W314" t="s">
        <v>167</v>
      </c>
      <c r="Y314" t="s">
        <v>167</v>
      </c>
    </row>
    <row r="315">
      <c r="G315" t="s">
        <v>167</v>
      </c>
      <c r="I315" t="s">
        <v>167</v>
      </c>
      <c r="K315" t="s">
        <v>167</v>
      </c>
      <c r="M315" t="s">
        <v>167</v>
      </c>
      <c r="O315" t="s">
        <v>167</v>
      </c>
      <c r="Q315" t="s">
        <v>167</v>
      </c>
      <c r="S315" t="s">
        <v>167</v>
      </c>
      <c r="U315" t="s">
        <v>167</v>
      </c>
      <c r="W315" t="s">
        <v>167</v>
      </c>
      <c r="Y315" t="s">
        <v>167</v>
      </c>
    </row>
    <row r="316">
      <c r="G316" t="s">
        <v>167</v>
      </c>
      <c r="I316" t="s">
        <v>167</v>
      </c>
      <c r="K316" t="s">
        <v>167</v>
      </c>
      <c r="M316" t="s">
        <v>167</v>
      </c>
      <c r="O316" t="s">
        <v>167</v>
      </c>
      <c r="Q316" t="s">
        <v>167</v>
      </c>
      <c r="S316" t="s">
        <v>167</v>
      </c>
      <c r="U316" t="s">
        <v>167</v>
      </c>
      <c r="W316" t="s">
        <v>167</v>
      </c>
      <c r="Y316" t="s">
        <v>167</v>
      </c>
    </row>
    <row r="317">
      <c r="G317" t="s">
        <v>167</v>
      </c>
      <c r="I317" t="s">
        <v>167</v>
      </c>
      <c r="K317" t="s">
        <v>167</v>
      </c>
      <c r="M317" t="s">
        <v>167</v>
      </c>
      <c r="O317" t="s">
        <v>167</v>
      </c>
      <c r="Q317" t="s">
        <v>167</v>
      </c>
      <c r="S317" t="s">
        <v>167</v>
      </c>
      <c r="U317" t="s">
        <v>167</v>
      </c>
      <c r="W317" t="s">
        <v>167</v>
      </c>
      <c r="Y317" t="s">
        <v>167</v>
      </c>
    </row>
    <row r="318">
      <c r="G318" t="s">
        <v>167</v>
      </c>
      <c r="I318" t="s">
        <v>167</v>
      </c>
      <c r="K318" t="s">
        <v>167</v>
      </c>
      <c r="M318" t="s">
        <v>167</v>
      </c>
      <c r="O318" t="s">
        <v>167</v>
      </c>
      <c r="Q318" t="s">
        <v>167</v>
      </c>
      <c r="S318" t="s">
        <v>167</v>
      </c>
      <c r="U318" t="s">
        <v>167</v>
      </c>
      <c r="W318" t="s">
        <v>167</v>
      </c>
      <c r="Y318" t="s">
        <v>167</v>
      </c>
    </row>
    <row r="319">
      <c r="G319" t="s">
        <v>167</v>
      </c>
      <c r="I319" t="s">
        <v>167</v>
      </c>
      <c r="K319" t="s">
        <v>167</v>
      </c>
      <c r="M319" t="s">
        <v>167</v>
      </c>
      <c r="O319" t="s">
        <v>167</v>
      </c>
      <c r="Q319" t="s">
        <v>167</v>
      </c>
      <c r="S319" t="s">
        <v>167</v>
      </c>
      <c r="U319" t="s">
        <v>167</v>
      </c>
      <c r="W319" t="s">
        <v>167</v>
      </c>
      <c r="Y319" t="s">
        <v>167</v>
      </c>
    </row>
    <row r="320">
      <c r="G320" t="s">
        <v>167</v>
      </c>
      <c r="I320" t="s">
        <v>167</v>
      </c>
      <c r="K320" t="s">
        <v>167</v>
      </c>
      <c r="M320" t="s">
        <v>167</v>
      </c>
      <c r="O320" t="s">
        <v>167</v>
      </c>
      <c r="Q320" t="s">
        <v>167</v>
      </c>
      <c r="S320" t="s">
        <v>167</v>
      </c>
      <c r="U320" t="s">
        <v>167</v>
      </c>
      <c r="W320" t="s">
        <v>167</v>
      </c>
      <c r="Y320" t="s">
        <v>167</v>
      </c>
    </row>
    <row r="321">
      <c r="G321" t="s">
        <v>167</v>
      </c>
      <c r="I321" t="s">
        <v>167</v>
      </c>
      <c r="K321" t="s">
        <v>167</v>
      </c>
      <c r="M321" t="s">
        <v>167</v>
      </c>
      <c r="O321" t="s">
        <v>167</v>
      </c>
      <c r="Q321" t="s">
        <v>167</v>
      </c>
      <c r="S321" t="s">
        <v>167</v>
      </c>
      <c r="U321" t="s">
        <v>167</v>
      </c>
      <c r="W321" t="s">
        <v>167</v>
      </c>
      <c r="Y321" t="s">
        <v>167</v>
      </c>
    </row>
    <row r="322">
      <c r="G322" t="s">
        <v>167</v>
      </c>
      <c r="I322" t="s">
        <v>167</v>
      </c>
      <c r="K322" t="s">
        <v>167</v>
      </c>
      <c r="M322" t="s">
        <v>167</v>
      </c>
      <c r="O322" t="s">
        <v>167</v>
      </c>
      <c r="Q322" t="s">
        <v>167</v>
      </c>
      <c r="S322" t="s">
        <v>167</v>
      </c>
      <c r="U322" t="s">
        <v>167</v>
      </c>
      <c r="W322" t="s">
        <v>167</v>
      </c>
      <c r="Y322" t="s">
        <v>167</v>
      </c>
    </row>
    <row r="323">
      <c r="G323" t="s">
        <v>167</v>
      </c>
      <c r="I323" t="s">
        <v>167</v>
      </c>
      <c r="K323" t="s">
        <v>167</v>
      </c>
      <c r="M323" t="s">
        <v>167</v>
      </c>
      <c r="O323" t="s">
        <v>167</v>
      </c>
      <c r="Q323" t="s">
        <v>167</v>
      </c>
      <c r="S323" t="s">
        <v>167</v>
      </c>
      <c r="U323" t="s">
        <v>167</v>
      </c>
      <c r="W323" t="s">
        <v>167</v>
      </c>
      <c r="Y323" t="s">
        <v>167</v>
      </c>
    </row>
    <row r="324">
      <c r="G324" t="s">
        <v>167</v>
      </c>
      <c r="I324" t="s">
        <v>167</v>
      </c>
      <c r="K324" t="s">
        <v>167</v>
      </c>
      <c r="M324" t="s">
        <v>167</v>
      </c>
      <c r="O324" t="s">
        <v>167</v>
      </c>
      <c r="Q324" t="s">
        <v>167</v>
      </c>
      <c r="S324" t="s">
        <v>167</v>
      </c>
      <c r="U324" t="s">
        <v>167</v>
      </c>
      <c r="W324" t="s">
        <v>167</v>
      </c>
      <c r="Y324" t="s">
        <v>167</v>
      </c>
    </row>
    <row r="325">
      <c r="G325" t="s">
        <v>167</v>
      </c>
      <c r="I325" t="s">
        <v>167</v>
      </c>
      <c r="K325" t="s">
        <v>167</v>
      </c>
      <c r="M325" t="s">
        <v>167</v>
      </c>
      <c r="O325" t="s">
        <v>167</v>
      </c>
      <c r="Q325" t="s">
        <v>167</v>
      </c>
      <c r="S325" t="s">
        <v>167</v>
      </c>
      <c r="U325" t="s">
        <v>167</v>
      </c>
      <c r="W325" t="s">
        <v>167</v>
      </c>
      <c r="Y325" t="s">
        <v>167</v>
      </c>
    </row>
    <row r="326">
      <c r="G326" t="s">
        <v>167</v>
      </c>
      <c r="I326" t="s">
        <v>167</v>
      </c>
      <c r="K326" t="s">
        <v>167</v>
      </c>
      <c r="M326" t="s">
        <v>167</v>
      </c>
      <c r="O326" t="s">
        <v>167</v>
      </c>
      <c r="Q326" t="s">
        <v>167</v>
      </c>
      <c r="S326" t="s">
        <v>167</v>
      </c>
      <c r="U326" t="s">
        <v>167</v>
      </c>
      <c r="W326" t="s">
        <v>167</v>
      </c>
      <c r="Y326" t="s">
        <v>167</v>
      </c>
    </row>
    <row r="327">
      <c r="G327" t="s">
        <v>167</v>
      </c>
      <c r="I327" t="s">
        <v>167</v>
      </c>
      <c r="K327" t="s">
        <v>167</v>
      </c>
      <c r="M327" t="s">
        <v>167</v>
      </c>
      <c r="O327" t="s">
        <v>167</v>
      </c>
      <c r="Q327" t="s">
        <v>167</v>
      </c>
      <c r="S327" t="s">
        <v>167</v>
      </c>
      <c r="U327" t="s">
        <v>167</v>
      </c>
      <c r="W327" t="s">
        <v>167</v>
      </c>
      <c r="Y327" t="s">
        <v>167</v>
      </c>
    </row>
    <row r="328">
      <c r="G328" t="s">
        <v>167</v>
      </c>
      <c r="I328" t="s">
        <v>167</v>
      </c>
      <c r="K328" t="s">
        <v>167</v>
      </c>
      <c r="M328" t="s">
        <v>167</v>
      </c>
      <c r="O328" t="s">
        <v>167</v>
      </c>
      <c r="Q328" t="s">
        <v>167</v>
      </c>
      <c r="S328" t="s">
        <v>167</v>
      </c>
      <c r="U328" t="s">
        <v>167</v>
      </c>
      <c r="W328" t="s">
        <v>167</v>
      </c>
      <c r="Y328" t="s">
        <v>167</v>
      </c>
    </row>
    <row r="329">
      <c r="G329" t="s">
        <v>167</v>
      </c>
      <c r="I329" t="s">
        <v>167</v>
      </c>
      <c r="K329" t="s">
        <v>167</v>
      </c>
      <c r="M329" t="s">
        <v>167</v>
      </c>
      <c r="O329" t="s">
        <v>167</v>
      </c>
      <c r="Q329" t="s">
        <v>167</v>
      </c>
      <c r="S329" t="s">
        <v>167</v>
      </c>
      <c r="U329" t="s">
        <v>167</v>
      </c>
      <c r="W329" t="s">
        <v>167</v>
      </c>
      <c r="Y329" t="s">
        <v>167</v>
      </c>
    </row>
    <row r="330">
      <c r="G330" t="s">
        <v>167</v>
      </c>
      <c r="I330" t="s">
        <v>167</v>
      </c>
      <c r="K330" t="s">
        <v>167</v>
      </c>
      <c r="M330" t="s">
        <v>167</v>
      </c>
      <c r="O330" t="s">
        <v>167</v>
      </c>
      <c r="Q330" t="s">
        <v>167</v>
      </c>
      <c r="S330" t="s">
        <v>167</v>
      </c>
      <c r="U330" t="s">
        <v>167</v>
      </c>
      <c r="W330" t="s">
        <v>167</v>
      </c>
      <c r="Y330" t="s">
        <v>167</v>
      </c>
    </row>
    <row r="331">
      <c r="G331" t="s">
        <v>167</v>
      </c>
      <c r="I331" t="s">
        <v>167</v>
      </c>
      <c r="K331" t="s">
        <v>167</v>
      </c>
      <c r="M331" t="s">
        <v>167</v>
      </c>
      <c r="O331" t="s">
        <v>167</v>
      </c>
      <c r="Q331" t="s">
        <v>167</v>
      </c>
      <c r="S331" t="s">
        <v>167</v>
      </c>
      <c r="U331" t="s">
        <v>167</v>
      </c>
      <c r="W331" t="s">
        <v>167</v>
      </c>
      <c r="Y331" t="s">
        <v>167</v>
      </c>
    </row>
    <row r="332">
      <c r="G332" t="s">
        <v>167</v>
      </c>
      <c r="I332" t="s">
        <v>167</v>
      </c>
      <c r="K332" t="s">
        <v>167</v>
      </c>
      <c r="M332" t="s">
        <v>167</v>
      </c>
      <c r="O332" t="s">
        <v>167</v>
      </c>
      <c r="Q332" t="s">
        <v>167</v>
      </c>
      <c r="S332" t="s">
        <v>167</v>
      </c>
      <c r="U332" t="s">
        <v>167</v>
      </c>
      <c r="W332" t="s">
        <v>167</v>
      </c>
      <c r="Y332" t="s">
        <v>167</v>
      </c>
    </row>
    <row r="333">
      <c r="G333" t="s">
        <v>167</v>
      </c>
      <c r="I333" t="s">
        <v>167</v>
      </c>
      <c r="K333" t="s">
        <v>167</v>
      </c>
      <c r="M333" t="s">
        <v>167</v>
      </c>
      <c r="O333" t="s">
        <v>167</v>
      </c>
      <c r="Q333" t="s">
        <v>167</v>
      </c>
      <c r="S333" t="s">
        <v>167</v>
      </c>
      <c r="U333" t="s">
        <v>167</v>
      </c>
      <c r="W333" t="s">
        <v>167</v>
      </c>
      <c r="Y333" t="s">
        <v>167</v>
      </c>
    </row>
    <row r="334">
      <c r="G334" t="s">
        <v>167</v>
      </c>
      <c r="I334" t="s">
        <v>167</v>
      </c>
      <c r="K334" t="s">
        <v>167</v>
      </c>
      <c r="M334" t="s">
        <v>167</v>
      </c>
      <c r="O334" t="s">
        <v>167</v>
      </c>
      <c r="Q334" t="s">
        <v>167</v>
      </c>
      <c r="S334" t="s">
        <v>167</v>
      </c>
      <c r="U334" t="s">
        <v>167</v>
      </c>
      <c r="W334" t="s">
        <v>167</v>
      </c>
      <c r="Y334" t="s">
        <v>167</v>
      </c>
    </row>
    <row r="335">
      <c r="G335" t="s">
        <v>167</v>
      </c>
      <c r="I335" t="s">
        <v>167</v>
      </c>
      <c r="K335" t="s">
        <v>167</v>
      </c>
      <c r="M335" t="s">
        <v>167</v>
      </c>
      <c r="O335" t="s">
        <v>167</v>
      </c>
      <c r="Q335" t="s">
        <v>167</v>
      </c>
      <c r="S335" t="s">
        <v>167</v>
      </c>
      <c r="U335" t="s">
        <v>167</v>
      </c>
      <c r="W335" t="s">
        <v>167</v>
      </c>
      <c r="Y335" t="s">
        <v>167</v>
      </c>
    </row>
    <row r="336">
      <c r="G336" t="s">
        <v>167</v>
      </c>
      <c r="I336" t="s">
        <v>167</v>
      </c>
      <c r="K336" t="s">
        <v>167</v>
      </c>
      <c r="M336" t="s">
        <v>167</v>
      </c>
      <c r="O336" t="s">
        <v>167</v>
      </c>
      <c r="Q336" t="s">
        <v>167</v>
      </c>
      <c r="S336" t="s">
        <v>167</v>
      </c>
      <c r="U336" t="s">
        <v>167</v>
      </c>
      <c r="W336" t="s">
        <v>167</v>
      </c>
      <c r="Y336" t="s">
        <v>167</v>
      </c>
    </row>
    <row r="337">
      <c r="G337" t="s">
        <v>167</v>
      </c>
      <c r="I337" t="s">
        <v>167</v>
      </c>
      <c r="K337" t="s">
        <v>167</v>
      </c>
      <c r="M337" t="s">
        <v>167</v>
      </c>
      <c r="O337" t="s">
        <v>167</v>
      </c>
      <c r="Q337" t="s">
        <v>167</v>
      </c>
      <c r="S337" t="s">
        <v>167</v>
      </c>
      <c r="U337" t="s">
        <v>167</v>
      </c>
      <c r="W337" t="s">
        <v>167</v>
      </c>
      <c r="Y337" t="s">
        <v>167</v>
      </c>
    </row>
    <row r="338">
      <c r="G338" t="s">
        <v>167</v>
      </c>
      <c r="I338" t="s">
        <v>167</v>
      </c>
      <c r="K338" t="s">
        <v>167</v>
      </c>
      <c r="M338" t="s">
        <v>167</v>
      </c>
      <c r="O338" t="s">
        <v>167</v>
      </c>
      <c r="Q338" t="s">
        <v>167</v>
      </c>
      <c r="S338" t="s">
        <v>167</v>
      </c>
      <c r="U338" t="s">
        <v>167</v>
      </c>
      <c r="W338" t="s">
        <v>167</v>
      </c>
      <c r="Y338" t="s">
        <v>167</v>
      </c>
    </row>
    <row r="339">
      <c r="G339" t="s">
        <v>167</v>
      </c>
      <c r="I339" t="s">
        <v>167</v>
      </c>
      <c r="K339" t="s">
        <v>167</v>
      </c>
      <c r="M339" t="s">
        <v>167</v>
      </c>
      <c r="O339" t="s">
        <v>167</v>
      </c>
      <c r="Q339" t="s">
        <v>167</v>
      </c>
      <c r="S339" t="s">
        <v>167</v>
      </c>
      <c r="U339" t="s">
        <v>167</v>
      </c>
      <c r="W339" t="s">
        <v>167</v>
      </c>
      <c r="Y339" t="s">
        <v>167</v>
      </c>
    </row>
    <row r="340">
      <c r="G340" t="s">
        <v>167</v>
      </c>
      <c r="I340" t="s">
        <v>167</v>
      </c>
      <c r="K340" t="s">
        <v>167</v>
      </c>
      <c r="M340" t="s">
        <v>167</v>
      </c>
      <c r="O340" t="s">
        <v>167</v>
      </c>
      <c r="Q340" t="s">
        <v>167</v>
      </c>
      <c r="S340" t="s">
        <v>167</v>
      </c>
      <c r="U340" t="s">
        <v>167</v>
      </c>
      <c r="W340" t="s">
        <v>167</v>
      </c>
      <c r="Y340" t="s">
        <v>167</v>
      </c>
    </row>
    <row r="341">
      <c r="G341" t="s">
        <v>167</v>
      </c>
      <c r="I341" t="s">
        <v>167</v>
      </c>
      <c r="K341" t="s">
        <v>167</v>
      </c>
      <c r="M341" t="s">
        <v>167</v>
      </c>
      <c r="O341" t="s">
        <v>167</v>
      </c>
      <c r="Q341" t="s">
        <v>167</v>
      </c>
      <c r="S341" t="s">
        <v>167</v>
      </c>
      <c r="U341" t="s">
        <v>167</v>
      </c>
      <c r="W341" t="s">
        <v>167</v>
      </c>
      <c r="Y341" t="s">
        <v>167</v>
      </c>
    </row>
    <row r="342">
      <c r="G342" t="s">
        <v>167</v>
      </c>
      <c r="I342" t="s">
        <v>167</v>
      </c>
      <c r="K342" t="s">
        <v>167</v>
      </c>
      <c r="M342" t="s">
        <v>167</v>
      </c>
      <c r="O342" t="s">
        <v>167</v>
      </c>
      <c r="Q342" t="s">
        <v>167</v>
      </c>
      <c r="S342" t="s">
        <v>167</v>
      </c>
      <c r="U342" t="s">
        <v>167</v>
      </c>
      <c r="W342" t="s">
        <v>167</v>
      </c>
      <c r="Y342" t="s">
        <v>167</v>
      </c>
    </row>
    <row r="343">
      <c r="G343" t="s">
        <v>167</v>
      </c>
      <c r="I343" t="s">
        <v>167</v>
      </c>
      <c r="K343" t="s">
        <v>167</v>
      </c>
      <c r="M343" t="s">
        <v>167</v>
      </c>
      <c r="O343" t="s">
        <v>167</v>
      </c>
      <c r="Q343" t="s">
        <v>167</v>
      </c>
      <c r="S343" t="s">
        <v>167</v>
      </c>
      <c r="U343" t="s">
        <v>167</v>
      </c>
      <c r="W343" t="s">
        <v>167</v>
      </c>
      <c r="Y343" t="s">
        <v>167</v>
      </c>
    </row>
    <row r="344">
      <c r="G344" t="s">
        <v>167</v>
      </c>
      <c r="I344" t="s">
        <v>167</v>
      </c>
      <c r="K344" t="s">
        <v>167</v>
      </c>
      <c r="M344" t="s">
        <v>167</v>
      </c>
      <c r="O344" t="s">
        <v>167</v>
      </c>
      <c r="Q344" t="s">
        <v>167</v>
      </c>
      <c r="S344" t="s">
        <v>167</v>
      </c>
      <c r="U344" t="s">
        <v>167</v>
      </c>
      <c r="W344" t="s">
        <v>167</v>
      </c>
      <c r="Y344" t="s">
        <v>167</v>
      </c>
    </row>
    <row r="345">
      <c r="G345" t="s">
        <v>167</v>
      </c>
      <c r="I345" t="s">
        <v>167</v>
      </c>
      <c r="K345" t="s">
        <v>167</v>
      </c>
      <c r="M345" t="s">
        <v>167</v>
      </c>
      <c r="O345" t="s">
        <v>167</v>
      </c>
      <c r="Q345" t="s">
        <v>167</v>
      </c>
      <c r="S345" t="s">
        <v>167</v>
      </c>
      <c r="U345" t="s">
        <v>167</v>
      </c>
      <c r="W345" t="s">
        <v>167</v>
      </c>
      <c r="Y345" t="s">
        <v>167</v>
      </c>
    </row>
    <row r="346">
      <c r="G346" t="s">
        <v>167</v>
      </c>
      <c r="I346" t="s">
        <v>167</v>
      </c>
      <c r="K346" t="s">
        <v>167</v>
      </c>
      <c r="M346" t="s">
        <v>167</v>
      </c>
      <c r="O346" t="s">
        <v>167</v>
      </c>
      <c r="Q346" t="s">
        <v>167</v>
      </c>
      <c r="S346" t="s">
        <v>167</v>
      </c>
      <c r="U346" t="s">
        <v>167</v>
      </c>
      <c r="W346" t="s">
        <v>167</v>
      </c>
      <c r="Y346" t="s">
        <v>167</v>
      </c>
    </row>
    <row r="347">
      <c r="G347" t="s">
        <v>167</v>
      </c>
      <c r="I347" t="s">
        <v>167</v>
      </c>
      <c r="K347" t="s">
        <v>167</v>
      </c>
      <c r="M347" t="s">
        <v>167</v>
      </c>
      <c r="O347" t="s">
        <v>167</v>
      </c>
      <c r="Q347" t="s">
        <v>167</v>
      </c>
      <c r="S347" t="s">
        <v>167</v>
      </c>
      <c r="U347" t="s">
        <v>167</v>
      </c>
      <c r="W347" t="s">
        <v>167</v>
      </c>
      <c r="Y347" t="s">
        <v>167</v>
      </c>
    </row>
    <row r="348">
      <c r="G348" t="s">
        <v>167</v>
      </c>
      <c r="I348" t="s">
        <v>167</v>
      </c>
      <c r="K348" t="s">
        <v>167</v>
      </c>
      <c r="M348" t="s">
        <v>167</v>
      </c>
      <c r="O348" t="s">
        <v>167</v>
      </c>
      <c r="Q348" t="s">
        <v>167</v>
      </c>
      <c r="S348" t="s">
        <v>167</v>
      </c>
      <c r="U348" t="s">
        <v>167</v>
      </c>
      <c r="W348" t="s">
        <v>167</v>
      </c>
      <c r="Y348" t="s">
        <v>167</v>
      </c>
    </row>
    <row r="349">
      <c r="G349" t="s">
        <v>167</v>
      </c>
      <c r="I349" t="s">
        <v>167</v>
      </c>
      <c r="K349" t="s">
        <v>167</v>
      </c>
      <c r="M349" t="s">
        <v>167</v>
      </c>
      <c r="O349" t="s">
        <v>167</v>
      </c>
      <c r="Q349" t="s">
        <v>167</v>
      </c>
      <c r="S349" t="s">
        <v>167</v>
      </c>
      <c r="U349" t="s">
        <v>167</v>
      </c>
      <c r="W349" t="s">
        <v>167</v>
      </c>
      <c r="Y349" t="s">
        <v>167</v>
      </c>
    </row>
    <row r="350">
      <c r="G350" t="s">
        <v>167</v>
      </c>
      <c r="I350" t="s">
        <v>167</v>
      </c>
      <c r="K350" t="s">
        <v>167</v>
      </c>
      <c r="M350" t="s">
        <v>167</v>
      </c>
      <c r="O350" t="s">
        <v>167</v>
      </c>
      <c r="Q350" t="s">
        <v>167</v>
      </c>
      <c r="S350" t="s">
        <v>167</v>
      </c>
      <c r="U350" t="s">
        <v>167</v>
      </c>
      <c r="W350" t="s">
        <v>167</v>
      </c>
      <c r="Y350" t="s">
        <v>167</v>
      </c>
    </row>
    <row r="351">
      <c r="G351" t="s">
        <v>167</v>
      </c>
      <c r="I351" t="s">
        <v>167</v>
      </c>
      <c r="K351" t="s">
        <v>167</v>
      </c>
      <c r="M351" t="s">
        <v>167</v>
      </c>
      <c r="O351" t="s">
        <v>167</v>
      </c>
      <c r="Q351" t="s">
        <v>167</v>
      </c>
      <c r="S351" t="s">
        <v>167</v>
      </c>
      <c r="U351" t="s">
        <v>167</v>
      </c>
      <c r="W351" t="s">
        <v>167</v>
      </c>
      <c r="Y351" t="s">
        <v>167</v>
      </c>
    </row>
    <row r="352">
      <c r="G352" t="s">
        <v>167</v>
      </c>
      <c r="I352" t="s">
        <v>167</v>
      </c>
      <c r="K352" t="s">
        <v>167</v>
      </c>
      <c r="M352" t="s">
        <v>167</v>
      </c>
      <c r="O352" t="s">
        <v>167</v>
      </c>
      <c r="Q352" t="s">
        <v>167</v>
      </c>
      <c r="S352" t="s">
        <v>167</v>
      </c>
      <c r="U352" t="s">
        <v>167</v>
      </c>
      <c r="W352" t="s">
        <v>167</v>
      </c>
      <c r="Y352" t="s">
        <v>167</v>
      </c>
    </row>
    <row r="353">
      <c r="G353" t="s">
        <v>167</v>
      </c>
      <c r="I353" t="s">
        <v>167</v>
      </c>
      <c r="K353" t="s">
        <v>167</v>
      </c>
      <c r="M353" t="s">
        <v>167</v>
      </c>
      <c r="O353" t="s">
        <v>167</v>
      </c>
      <c r="Q353" t="s">
        <v>167</v>
      </c>
      <c r="S353" t="s">
        <v>167</v>
      </c>
      <c r="U353" t="s">
        <v>167</v>
      </c>
      <c r="W353" t="s">
        <v>167</v>
      </c>
      <c r="Y353" t="s">
        <v>167</v>
      </c>
    </row>
    <row r="354">
      <c r="G354" t="s">
        <v>167</v>
      </c>
      <c r="I354" t="s">
        <v>167</v>
      </c>
      <c r="K354" t="s">
        <v>167</v>
      </c>
      <c r="M354" t="s">
        <v>167</v>
      </c>
      <c r="O354" t="s">
        <v>167</v>
      </c>
      <c r="Q354" t="s">
        <v>167</v>
      </c>
      <c r="S354" t="s">
        <v>167</v>
      </c>
      <c r="U354" t="s">
        <v>167</v>
      </c>
      <c r="W354" t="s">
        <v>167</v>
      </c>
      <c r="Y354" t="s">
        <v>167</v>
      </c>
    </row>
    <row r="355">
      <c r="G355" t="s">
        <v>167</v>
      </c>
      <c r="I355" t="s">
        <v>167</v>
      </c>
      <c r="K355" t="s">
        <v>167</v>
      </c>
      <c r="M355" t="s">
        <v>167</v>
      </c>
      <c r="O355" t="s">
        <v>167</v>
      </c>
      <c r="Q355" t="s">
        <v>167</v>
      </c>
      <c r="S355" t="s">
        <v>167</v>
      </c>
      <c r="U355" t="s">
        <v>167</v>
      </c>
      <c r="W355" t="s">
        <v>167</v>
      </c>
      <c r="Y355" t="s">
        <v>167</v>
      </c>
    </row>
    <row r="356">
      <c r="G356" t="s">
        <v>167</v>
      </c>
      <c r="I356" t="s">
        <v>167</v>
      </c>
      <c r="K356" t="s">
        <v>167</v>
      </c>
      <c r="M356" t="s">
        <v>167</v>
      </c>
      <c r="O356" t="s">
        <v>167</v>
      </c>
      <c r="Q356" t="s">
        <v>167</v>
      </c>
      <c r="S356" t="s">
        <v>167</v>
      </c>
      <c r="U356" t="s">
        <v>167</v>
      </c>
      <c r="W356" t="s">
        <v>167</v>
      </c>
      <c r="Y356" t="s">
        <v>167</v>
      </c>
    </row>
    <row r="357">
      <c r="G357" t="s">
        <v>167</v>
      </c>
      <c r="I357" t="s">
        <v>167</v>
      </c>
      <c r="K357" t="s">
        <v>167</v>
      </c>
      <c r="M357" t="s">
        <v>167</v>
      </c>
      <c r="O357" t="s">
        <v>167</v>
      </c>
      <c r="Q357" t="s">
        <v>167</v>
      </c>
      <c r="S357" t="s">
        <v>167</v>
      </c>
      <c r="U357" t="s">
        <v>167</v>
      </c>
      <c r="W357" t="s">
        <v>167</v>
      </c>
      <c r="Y357" t="s">
        <v>167</v>
      </c>
    </row>
    <row r="358">
      <c r="G358" t="s">
        <v>167</v>
      </c>
      <c r="I358" t="s">
        <v>167</v>
      </c>
      <c r="K358" t="s">
        <v>167</v>
      </c>
      <c r="M358" t="s">
        <v>167</v>
      </c>
      <c r="O358" t="s">
        <v>167</v>
      </c>
      <c r="Q358" t="s">
        <v>167</v>
      </c>
      <c r="S358" t="s">
        <v>167</v>
      </c>
      <c r="U358" t="s">
        <v>167</v>
      </c>
      <c r="W358" t="s">
        <v>167</v>
      </c>
      <c r="Y358" t="s">
        <v>167</v>
      </c>
    </row>
    <row r="359">
      <c r="G359" t="s">
        <v>167</v>
      </c>
      <c r="I359" t="s">
        <v>167</v>
      </c>
      <c r="K359" t="s">
        <v>167</v>
      </c>
      <c r="M359" t="s">
        <v>167</v>
      </c>
      <c r="O359" t="s">
        <v>167</v>
      </c>
      <c r="Q359" t="s">
        <v>167</v>
      </c>
      <c r="S359" t="s">
        <v>167</v>
      </c>
      <c r="U359" t="s">
        <v>167</v>
      </c>
      <c r="W359" t="s">
        <v>167</v>
      </c>
      <c r="Y359" t="s">
        <v>167</v>
      </c>
    </row>
    <row r="360">
      <c r="G360" t="s">
        <v>167</v>
      </c>
      <c r="I360" t="s">
        <v>167</v>
      </c>
      <c r="K360" t="s">
        <v>167</v>
      </c>
      <c r="M360" t="s">
        <v>167</v>
      </c>
      <c r="O360" t="s">
        <v>167</v>
      </c>
      <c r="Q360" t="s">
        <v>167</v>
      </c>
      <c r="S360" t="s">
        <v>167</v>
      </c>
      <c r="U360" t="s">
        <v>167</v>
      </c>
      <c r="W360" t="s">
        <v>167</v>
      </c>
      <c r="Y360" t="s">
        <v>167</v>
      </c>
    </row>
    <row r="361">
      <c r="G361" t="s">
        <v>167</v>
      </c>
      <c r="I361" t="s">
        <v>167</v>
      </c>
      <c r="K361" t="s">
        <v>167</v>
      </c>
      <c r="M361" t="s">
        <v>167</v>
      </c>
      <c r="O361" t="s">
        <v>167</v>
      </c>
      <c r="Q361" t="s">
        <v>167</v>
      </c>
      <c r="S361" t="s">
        <v>167</v>
      </c>
      <c r="U361" t="s">
        <v>167</v>
      </c>
      <c r="W361" t="s">
        <v>167</v>
      </c>
      <c r="Y361" t="s">
        <v>167</v>
      </c>
    </row>
    <row r="362">
      <c r="G362" t="s">
        <v>167</v>
      </c>
      <c r="I362" t="s">
        <v>167</v>
      </c>
      <c r="K362" t="s">
        <v>167</v>
      </c>
      <c r="M362" t="s">
        <v>167</v>
      </c>
      <c r="O362" t="s">
        <v>167</v>
      </c>
      <c r="Q362" t="s">
        <v>167</v>
      </c>
      <c r="S362" t="s">
        <v>167</v>
      </c>
      <c r="U362" t="s">
        <v>167</v>
      </c>
      <c r="W362" t="s">
        <v>167</v>
      </c>
      <c r="Y362" t="s">
        <v>167</v>
      </c>
    </row>
    <row r="363">
      <c r="G363" t="s">
        <v>167</v>
      </c>
      <c r="I363" t="s">
        <v>167</v>
      </c>
      <c r="K363" t="s">
        <v>167</v>
      </c>
      <c r="M363" t="s">
        <v>167</v>
      </c>
      <c r="O363" t="s">
        <v>167</v>
      </c>
      <c r="Q363" t="s">
        <v>167</v>
      </c>
      <c r="S363" t="s">
        <v>167</v>
      </c>
      <c r="U363" t="s">
        <v>167</v>
      </c>
      <c r="W363" t="s">
        <v>167</v>
      </c>
      <c r="Y363" t="s">
        <v>167</v>
      </c>
    </row>
    <row r="364">
      <c r="G364" t="s">
        <v>167</v>
      </c>
      <c r="I364" t="s">
        <v>167</v>
      </c>
      <c r="K364" t="s">
        <v>167</v>
      </c>
      <c r="M364" t="s">
        <v>167</v>
      </c>
      <c r="O364" t="s">
        <v>167</v>
      </c>
      <c r="Q364" t="s">
        <v>167</v>
      </c>
      <c r="S364" t="s">
        <v>167</v>
      </c>
      <c r="U364" t="s">
        <v>167</v>
      </c>
      <c r="W364" t="s">
        <v>167</v>
      </c>
      <c r="Y364" t="s">
        <v>167</v>
      </c>
    </row>
    <row r="365">
      <c r="G365" t="s">
        <v>167</v>
      </c>
      <c r="I365" t="s">
        <v>167</v>
      </c>
      <c r="K365" t="s">
        <v>167</v>
      </c>
      <c r="M365" t="s">
        <v>167</v>
      </c>
      <c r="O365" t="s">
        <v>167</v>
      </c>
      <c r="Q365" t="s">
        <v>167</v>
      </c>
      <c r="S365" t="s">
        <v>167</v>
      </c>
      <c r="U365" t="s">
        <v>167</v>
      </c>
      <c r="W365" t="s">
        <v>167</v>
      </c>
      <c r="Y365" t="s">
        <v>167</v>
      </c>
    </row>
    <row r="366">
      <c r="G366" t="s">
        <v>167</v>
      </c>
      <c r="I366" t="s">
        <v>167</v>
      </c>
      <c r="K366" t="s">
        <v>167</v>
      </c>
      <c r="M366" t="s">
        <v>167</v>
      </c>
      <c r="O366" t="s">
        <v>167</v>
      </c>
      <c r="Q366" t="s">
        <v>167</v>
      </c>
      <c r="S366" t="s">
        <v>167</v>
      </c>
      <c r="U366" t="s">
        <v>167</v>
      </c>
      <c r="W366" t="s">
        <v>167</v>
      </c>
      <c r="Y366" t="s">
        <v>167</v>
      </c>
    </row>
    <row r="367">
      <c r="G367" t="s">
        <v>167</v>
      </c>
      <c r="I367" t="s">
        <v>167</v>
      </c>
      <c r="K367" t="s">
        <v>167</v>
      </c>
      <c r="M367" t="s">
        <v>167</v>
      </c>
      <c r="O367" t="s">
        <v>167</v>
      </c>
      <c r="Q367" t="s">
        <v>167</v>
      </c>
      <c r="S367" t="s">
        <v>167</v>
      </c>
      <c r="U367" t="s">
        <v>167</v>
      </c>
      <c r="W367" t="s">
        <v>167</v>
      </c>
      <c r="Y367" t="s">
        <v>167</v>
      </c>
    </row>
    <row r="368">
      <c r="G368" t="s">
        <v>167</v>
      </c>
      <c r="I368" t="s">
        <v>167</v>
      </c>
      <c r="K368" t="s">
        <v>167</v>
      </c>
      <c r="M368" t="s">
        <v>167</v>
      </c>
      <c r="O368" t="s">
        <v>167</v>
      </c>
      <c r="Q368" t="s">
        <v>167</v>
      </c>
      <c r="S368" t="s">
        <v>167</v>
      </c>
      <c r="U368" t="s">
        <v>167</v>
      </c>
      <c r="W368" t="s">
        <v>167</v>
      </c>
      <c r="Y368" t="s">
        <v>167</v>
      </c>
    </row>
    <row r="369">
      <c r="G369" t="s">
        <v>167</v>
      </c>
      <c r="I369" t="s">
        <v>167</v>
      </c>
      <c r="K369" t="s">
        <v>167</v>
      </c>
      <c r="M369" t="s">
        <v>167</v>
      </c>
      <c r="O369" t="s">
        <v>167</v>
      </c>
      <c r="Q369" t="s">
        <v>167</v>
      </c>
      <c r="S369" t="s">
        <v>167</v>
      </c>
      <c r="U369" t="s">
        <v>167</v>
      </c>
      <c r="W369" t="s">
        <v>167</v>
      </c>
      <c r="Y369" t="s">
        <v>167</v>
      </c>
    </row>
    <row r="370">
      <c r="G370" t="s">
        <v>167</v>
      </c>
      <c r="I370" t="s">
        <v>167</v>
      </c>
      <c r="K370" t="s">
        <v>167</v>
      </c>
      <c r="M370" t="s">
        <v>167</v>
      </c>
      <c r="O370" t="s">
        <v>167</v>
      </c>
      <c r="Q370" t="s">
        <v>167</v>
      </c>
      <c r="S370" t="s">
        <v>167</v>
      </c>
      <c r="U370" t="s">
        <v>167</v>
      </c>
      <c r="W370" t="s">
        <v>167</v>
      </c>
      <c r="Y370" t="s">
        <v>167</v>
      </c>
    </row>
    <row r="371">
      <c r="G371" t="s">
        <v>167</v>
      </c>
      <c r="I371" t="s">
        <v>167</v>
      </c>
      <c r="K371" t="s">
        <v>167</v>
      </c>
      <c r="M371" t="s">
        <v>167</v>
      </c>
      <c r="O371" t="s">
        <v>167</v>
      </c>
      <c r="Q371" t="s">
        <v>167</v>
      </c>
      <c r="S371" t="s">
        <v>167</v>
      </c>
      <c r="U371" t="s">
        <v>167</v>
      </c>
      <c r="W371" t="s">
        <v>167</v>
      </c>
      <c r="Y371" t="s">
        <v>167</v>
      </c>
    </row>
    <row r="372">
      <c r="G372" t="s">
        <v>167</v>
      </c>
      <c r="I372" t="s">
        <v>167</v>
      </c>
      <c r="K372" t="s">
        <v>167</v>
      </c>
      <c r="M372" t="s">
        <v>167</v>
      </c>
      <c r="O372" t="s">
        <v>167</v>
      </c>
      <c r="Q372" t="s">
        <v>167</v>
      </c>
      <c r="S372" t="s">
        <v>167</v>
      </c>
      <c r="U372" t="s">
        <v>167</v>
      </c>
      <c r="W372" t="s">
        <v>167</v>
      </c>
      <c r="Y372" t="s">
        <v>167</v>
      </c>
    </row>
    <row r="373">
      <c r="G373" t="s">
        <v>167</v>
      </c>
      <c r="I373" t="s">
        <v>167</v>
      </c>
      <c r="K373" t="s">
        <v>167</v>
      </c>
      <c r="M373" t="s">
        <v>167</v>
      </c>
      <c r="O373" t="s">
        <v>167</v>
      </c>
      <c r="Q373" t="s">
        <v>167</v>
      </c>
      <c r="S373" t="s">
        <v>167</v>
      </c>
      <c r="U373" t="s">
        <v>167</v>
      </c>
      <c r="W373" t="s">
        <v>167</v>
      </c>
      <c r="Y373" t="s">
        <v>167</v>
      </c>
    </row>
    <row r="374">
      <c r="G374" t="s">
        <v>167</v>
      </c>
      <c r="I374" t="s">
        <v>167</v>
      </c>
      <c r="K374" t="s">
        <v>167</v>
      </c>
      <c r="M374" t="s">
        <v>167</v>
      </c>
      <c r="O374" t="s">
        <v>167</v>
      </c>
      <c r="Q374" t="s">
        <v>167</v>
      </c>
      <c r="S374" t="s">
        <v>167</v>
      </c>
      <c r="U374" t="s">
        <v>167</v>
      </c>
      <c r="W374" t="s">
        <v>167</v>
      </c>
      <c r="Y374" t="s">
        <v>167</v>
      </c>
    </row>
    <row r="375">
      <c r="G375" t="s">
        <v>167</v>
      </c>
      <c r="I375" t="s">
        <v>167</v>
      </c>
      <c r="K375" t="s">
        <v>167</v>
      </c>
      <c r="M375" t="s">
        <v>167</v>
      </c>
      <c r="O375" t="s">
        <v>167</v>
      </c>
      <c r="Q375" t="s">
        <v>167</v>
      </c>
      <c r="S375" t="s">
        <v>167</v>
      </c>
      <c r="U375" t="s">
        <v>167</v>
      </c>
      <c r="W375" t="s">
        <v>167</v>
      </c>
      <c r="Y375" t="s">
        <v>167</v>
      </c>
    </row>
    <row r="376">
      <c r="G376" t="s">
        <v>167</v>
      </c>
      <c r="I376" t="s">
        <v>167</v>
      </c>
      <c r="K376" t="s">
        <v>167</v>
      </c>
      <c r="M376" t="s">
        <v>167</v>
      </c>
      <c r="O376" t="s">
        <v>167</v>
      </c>
      <c r="Q376" t="s">
        <v>167</v>
      </c>
      <c r="S376" t="s">
        <v>167</v>
      </c>
      <c r="U376" t="s">
        <v>167</v>
      </c>
      <c r="W376" t="s">
        <v>167</v>
      </c>
      <c r="Y376" t="s">
        <v>167</v>
      </c>
    </row>
    <row r="377">
      <c r="G377" t="s">
        <v>167</v>
      </c>
      <c r="I377" t="s">
        <v>167</v>
      </c>
      <c r="K377" t="s">
        <v>167</v>
      </c>
      <c r="M377" t="s">
        <v>167</v>
      </c>
      <c r="O377" t="s">
        <v>167</v>
      </c>
      <c r="Q377" t="s">
        <v>167</v>
      </c>
      <c r="S377" t="s">
        <v>167</v>
      </c>
      <c r="U377" t="s">
        <v>167</v>
      </c>
      <c r="W377" t="s">
        <v>167</v>
      </c>
      <c r="Y377" t="s">
        <v>167</v>
      </c>
    </row>
    <row r="378">
      <c r="G378" t="s">
        <v>167</v>
      </c>
      <c r="I378" t="s">
        <v>167</v>
      </c>
      <c r="K378" t="s">
        <v>167</v>
      </c>
      <c r="M378" t="s">
        <v>167</v>
      </c>
      <c r="O378" t="s">
        <v>167</v>
      </c>
      <c r="Q378" t="s">
        <v>167</v>
      </c>
      <c r="S378" t="s">
        <v>167</v>
      </c>
      <c r="U378" t="s">
        <v>167</v>
      </c>
      <c r="W378" t="s">
        <v>167</v>
      </c>
      <c r="Y378" t="s">
        <v>167</v>
      </c>
    </row>
    <row r="379">
      <c r="G379" t="s">
        <v>167</v>
      </c>
      <c r="I379" t="s">
        <v>167</v>
      </c>
      <c r="K379" t="s">
        <v>167</v>
      </c>
      <c r="M379" t="s">
        <v>167</v>
      </c>
      <c r="O379" t="s">
        <v>167</v>
      </c>
      <c r="Q379" t="s">
        <v>167</v>
      </c>
      <c r="S379" t="s">
        <v>167</v>
      </c>
      <c r="U379" t="s">
        <v>167</v>
      </c>
      <c r="W379" t="s">
        <v>167</v>
      </c>
      <c r="Y379" t="s">
        <v>167</v>
      </c>
    </row>
    <row r="380">
      <c r="G380" t="s">
        <v>167</v>
      </c>
      <c r="I380" t="s">
        <v>167</v>
      </c>
      <c r="K380" t="s">
        <v>167</v>
      </c>
      <c r="M380" t="s">
        <v>167</v>
      </c>
      <c r="O380" t="s">
        <v>167</v>
      </c>
      <c r="Q380" t="s">
        <v>167</v>
      </c>
      <c r="S380" t="s">
        <v>167</v>
      </c>
      <c r="U380" t="s">
        <v>167</v>
      </c>
      <c r="W380" t="s">
        <v>167</v>
      </c>
      <c r="Y380" t="s">
        <v>167</v>
      </c>
    </row>
    <row r="381">
      <c r="G381" t="s">
        <v>167</v>
      </c>
      <c r="I381" t="s">
        <v>167</v>
      </c>
      <c r="K381" t="s">
        <v>167</v>
      </c>
      <c r="M381" t="s">
        <v>167</v>
      </c>
      <c r="O381" t="s">
        <v>167</v>
      </c>
      <c r="Q381" t="s">
        <v>167</v>
      </c>
      <c r="S381" t="s">
        <v>167</v>
      </c>
      <c r="U381" t="s">
        <v>167</v>
      </c>
      <c r="W381" t="s">
        <v>167</v>
      </c>
      <c r="Y381" t="s">
        <v>167</v>
      </c>
    </row>
    <row r="382">
      <c r="G382" t="s">
        <v>167</v>
      </c>
      <c r="I382" t="s">
        <v>167</v>
      </c>
      <c r="K382" t="s">
        <v>167</v>
      </c>
      <c r="M382" t="s">
        <v>167</v>
      </c>
      <c r="O382" t="s">
        <v>167</v>
      </c>
      <c r="Q382" t="s">
        <v>167</v>
      </c>
      <c r="S382" t="s">
        <v>167</v>
      </c>
      <c r="U382" t="s">
        <v>167</v>
      </c>
      <c r="W382" t="s">
        <v>167</v>
      </c>
      <c r="Y382" t="s">
        <v>167</v>
      </c>
    </row>
    <row r="383">
      <c r="G383" t="s">
        <v>167</v>
      </c>
      <c r="I383" t="s">
        <v>167</v>
      </c>
      <c r="K383" t="s">
        <v>167</v>
      </c>
      <c r="M383" t="s">
        <v>167</v>
      </c>
      <c r="O383" t="s">
        <v>167</v>
      </c>
      <c r="Q383" t="s">
        <v>167</v>
      </c>
      <c r="S383" t="s">
        <v>167</v>
      </c>
      <c r="U383" t="s">
        <v>167</v>
      </c>
      <c r="W383" t="s">
        <v>167</v>
      </c>
      <c r="Y383" t="s">
        <v>167</v>
      </c>
    </row>
    <row r="384">
      <c r="G384" t="s">
        <v>167</v>
      </c>
      <c r="I384" t="s">
        <v>167</v>
      </c>
      <c r="K384" t="s">
        <v>167</v>
      </c>
      <c r="M384" t="s">
        <v>167</v>
      </c>
      <c r="O384" t="s">
        <v>167</v>
      </c>
      <c r="Q384" t="s">
        <v>167</v>
      </c>
      <c r="S384" t="s">
        <v>167</v>
      </c>
      <c r="U384" t="s">
        <v>167</v>
      </c>
      <c r="W384" t="s">
        <v>167</v>
      </c>
      <c r="Y384" t="s">
        <v>167</v>
      </c>
    </row>
    <row r="385">
      <c r="G385" t="s">
        <v>167</v>
      </c>
      <c r="I385" t="s">
        <v>167</v>
      </c>
      <c r="K385" t="s">
        <v>167</v>
      </c>
      <c r="M385" t="s">
        <v>167</v>
      </c>
      <c r="O385" t="s">
        <v>167</v>
      </c>
      <c r="Q385" t="s">
        <v>167</v>
      </c>
      <c r="S385" t="s">
        <v>167</v>
      </c>
      <c r="U385" t="s">
        <v>167</v>
      </c>
      <c r="W385" t="s">
        <v>167</v>
      </c>
      <c r="Y385" t="s">
        <v>167</v>
      </c>
    </row>
    <row r="386">
      <c r="G386" t="s">
        <v>167</v>
      </c>
      <c r="I386" t="s">
        <v>167</v>
      </c>
      <c r="K386" t="s">
        <v>167</v>
      </c>
      <c r="M386" t="s">
        <v>167</v>
      </c>
      <c r="O386" t="s">
        <v>167</v>
      </c>
      <c r="Q386" t="s">
        <v>167</v>
      </c>
      <c r="S386" t="s">
        <v>167</v>
      </c>
      <c r="U386" t="s">
        <v>167</v>
      </c>
      <c r="W386" t="s">
        <v>167</v>
      </c>
      <c r="Y386" t="s">
        <v>167</v>
      </c>
    </row>
    <row r="387">
      <c r="G387" t="s">
        <v>167</v>
      </c>
      <c r="I387" t="s">
        <v>167</v>
      </c>
      <c r="K387" t="s">
        <v>167</v>
      </c>
      <c r="M387" t="s">
        <v>167</v>
      </c>
      <c r="O387" t="s">
        <v>167</v>
      </c>
      <c r="Q387" t="s">
        <v>167</v>
      </c>
      <c r="S387" t="s">
        <v>167</v>
      </c>
      <c r="U387" t="s">
        <v>167</v>
      </c>
      <c r="W387" t="s">
        <v>167</v>
      </c>
      <c r="Y387" t="s">
        <v>167</v>
      </c>
    </row>
    <row r="388">
      <c r="G388" t="s">
        <v>167</v>
      </c>
      <c r="I388" t="s">
        <v>167</v>
      </c>
      <c r="K388" t="s">
        <v>167</v>
      </c>
      <c r="M388" t="s">
        <v>167</v>
      </c>
      <c r="O388" t="s">
        <v>167</v>
      </c>
      <c r="Q388" t="s">
        <v>167</v>
      </c>
      <c r="S388" t="s">
        <v>167</v>
      </c>
      <c r="U388" t="s">
        <v>167</v>
      </c>
      <c r="W388" t="s">
        <v>167</v>
      </c>
      <c r="Y388" t="s">
        <v>167</v>
      </c>
    </row>
    <row r="389">
      <c r="G389" t="s">
        <v>167</v>
      </c>
      <c r="I389" t="s">
        <v>167</v>
      </c>
      <c r="K389" t="s">
        <v>167</v>
      </c>
      <c r="M389" t="s">
        <v>167</v>
      </c>
      <c r="O389" t="s">
        <v>167</v>
      </c>
      <c r="Q389" t="s">
        <v>167</v>
      </c>
      <c r="S389" t="s">
        <v>167</v>
      </c>
      <c r="U389" t="s">
        <v>167</v>
      </c>
      <c r="W389" t="s">
        <v>167</v>
      </c>
      <c r="Y389" t="s">
        <v>167</v>
      </c>
    </row>
    <row r="390">
      <c r="G390" t="s">
        <v>167</v>
      </c>
      <c r="I390" t="s">
        <v>167</v>
      </c>
      <c r="K390" t="s">
        <v>167</v>
      </c>
      <c r="M390" t="s">
        <v>167</v>
      </c>
      <c r="O390" t="s">
        <v>167</v>
      </c>
      <c r="Q390" t="s">
        <v>167</v>
      </c>
      <c r="S390" t="s">
        <v>167</v>
      </c>
      <c r="U390" t="s">
        <v>167</v>
      </c>
      <c r="W390" t="s">
        <v>167</v>
      </c>
      <c r="Y390" t="s">
        <v>167</v>
      </c>
    </row>
    <row r="391">
      <c r="G391" t="s">
        <v>167</v>
      </c>
      <c r="I391" t="s">
        <v>167</v>
      </c>
      <c r="K391" t="s">
        <v>167</v>
      </c>
      <c r="M391" t="s">
        <v>167</v>
      </c>
      <c r="O391" t="s">
        <v>167</v>
      </c>
      <c r="Q391" t="s">
        <v>167</v>
      </c>
      <c r="S391" t="s">
        <v>167</v>
      </c>
      <c r="U391" t="s">
        <v>167</v>
      </c>
      <c r="W391" t="s">
        <v>167</v>
      </c>
      <c r="Y391" t="s">
        <v>167</v>
      </c>
    </row>
    <row r="392">
      <c r="G392" t="s">
        <v>167</v>
      </c>
      <c r="I392" t="s">
        <v>167</v>
      </c>
      <c r="K392" t="s">
        <v>167</v>
      </c>
      <c r="M392" t="s">
        <v>167</v>
      </c>
      <c r="O392" t="s">
        <v>167</v>
      </c>
      <c r="Q392" t="s">
        <v>167</v>
      </c>
      <c r="S392" t="s">
        <v>167</v>
      </c>
      <c r="U392" t="s">
        <v>167</v>
      </c>
      <c r="W392" t="s">
        <v>167</v>
      </c>
      <c r="Y392" t="s">
        <v>167</v>
      </c>
    </row>
    <row r="393">
      <c r="G393" t="s">
        <v>167</v>
      </c>
      <c r="I393" t="s">
        <v>167</v>
      </c>
      <c r="K393" t="s">
        <v>167</v>
      </c>
      <c r="M393" t="s">
        <v>167</v>
      </c>
      <c r="O393" t="s">
        <v>167</v>
      </c>
      <c r="Q393" t="s">
        <v>167</v>
      </c>
      <c r="S393" t="s">
        <v>167</v>
      </c>
      <c r="U393" t="s">
        <v>167</v>
      </c>
      <c r="W393" t="s">
        <v>167</v>
      </c>
      <c r="Y393" t="s">
        <v>167</v>
      </c>
    </row>
    <row r="394">
      <c r="G394" t="s">
        <v>167</v>
      </c>
      <c r="I394" t="s">
        <v>167</v>
      </c>
      <c r="K394" t="s">
        <v>167</v>
      </c>
      <c r="M394" t="s">
        <v>167</v>
      </c>
      <c r="O394" t="s">
        <v>167</v>
      </c>
      <c r="Q394" t="s">
        <v>167</v>
      </c>
      <c r="S394" t="s">
        <v>167</v>
      </c>
      <c r="U394" t="s">
        <v>167</v>
      </c>
      <c r="W394" t="s">
        <v>167</v>
      </c>
      <c r="Y394" t="s">
        <v>167</v>
      </c>
    </row>
    <row r="395">
      <c r="G395" t="s">
        <v>167</v>
      </c>
      <c r="I395" t="s">
        <v>167</v>
      </c>
      <c r="K395" t="s">
        <v>167</v>
      </c>
      <c r="M395" t="s">
        <v>167</v>
      </c>
      <c r="O395" t="s">
        <v>167</v>
      </c>
      <c r="Q395" t="s">
        <v>167</v>
      </c>
      <c r="S395" t="s">
        <v>167</v>
      </c>
      <c r="U395" t="s">
        <v>167</v>
      </c>
      <c r="W395" t="s">
        <v>167</v>
      </c>
      <c r="Y395" t="s">
        <v>167</v>
      </c>
    </row>
    <row r="396">
      <c r="G396" t="s">
        <v>167</v>
      </c>
      <c r="I396" t="s">
        <v>167</v>
      </c>
      <c r="K396" t="s">
        <v>167</v>
      </c>
      <c r="M396" t="s">
        <v>167</v>
      </c>
      <c r="O396" t="s">
        <v>167</v>
      </c>
      <c r="Q396" t="s">
        <v>167</v>
      </c>
      <c r="S396" t="s">
        <v>167</v>
      </c>
      <c r="U396" t="s">
        <v>167</v>
      </c>
      <c r="W396" t="s">
        <v>167</v>
      </c>
      <c r="Y396" t="s">
        <v>167</v>
      </c>
    </row>
    <row r="397">
      <c r="G397" t="s">
        <v>167</v>
      </c>
      <c r="I397" t="s">
        <v>167</v>
      </c>
      <c r="K397" t="s">
        <v>167</v>
      </c>
      <c r="M397" t="s">
        <v>167</v>
      </c>
      <c r="O397" t="s">
        <v>167</v>
      </c>
      <c r="Q397" t="s">
        <v>167</v>
      </c>
      <c r="S397" t="s">
        <v>167</v>
      </c>
      <c r="U397" t="s">
        <v>167</v>
      </c>
      <c r="W397" t="s">
        <v>167</v>
      </c>
      <c r="Y397" t="s">
        <v>167</v>
      </c>
    </row>
    <row r="398">
      <c r="G398" t="s">
        <v>167</v>
      </c>
      <c r="I398" t="s">
        <v>167</v>
      </c>
      <c r="K398" t="s">
        <v>167</v>
      </c>
      <c r="M398" t="s">
        <v>167</v>
      </c>
      <c r="O398" t="s">
        <v>167</v>
      </c>
      <c r="Q398" t="s">
        <v>167</v>
      </c>
      <c r="S398" t="s">
        <v>167</v>
      </c>
      <c r="U398" t="s">
        <v>167</v>
      </c>
      <c r="W398" t="s">
        <v>167</v>
      </c>
      <c r="Y398" t="s">
        <v>167</v>
      </c>
    </row>
    <row r="399">
      <c r="G399" t="s">
        <v>167</v>
      </c>
      <c r="I399" t="s">
        <v>167</v>
      </c>
      <c r="K399" t="s">
        <v>167</v>
      </c>
      <c r="M399" t="s">
        <v>167</v>
      </c>
      <c r="O399" t="s">
        <v>167</v>
      </c>
      <c r="Q399" t="s">
        <v>167</v>
      </c>
      <c r="S399" t="s">
        <v>167</v>
      </c>
      <c r="U399" t="s">
        <v>167</v>
      </c>
      <c r="W399" t="s">
        <v>167</v>
      </c>
      <c r="Y399" t="s">
        <v>167</v>
      </c>
    </row>
    <row r="400">
      <c r="G400" t="s">
        <v>167</v>
      </c>
      <c r="I400" t="s">
        <v>167</v>
      </c>
      <c r="K400" t="s">
        <v>167</v>
      </c>
      <c r="M400" t="s">
        <v>167</v>
      </c>
      <c r="O400" t="s">
        <v>167</v>
      </c>
      <c r="Q400" t="s">
        <v>167</v>
      </c>
      <c r="S400" t="s">
        <v>167</v>
      </c>
      <c r="U400" t="s">
        <v>167</v>
      </c>
      <c r="W400" t="s">
        <v>167</v>
      </c>
      <c r="Y400" t="s">
        <v>167</v>
      </c>
    </row>
    <row r="401">
      <c r="G401" t="s">
        <v>167</v>
      </c>
      <c r="I401" t="s">
        <v>167</v>
      </c>
      <c r="K401" t="s">
        <v>167</v>
      </c>
      <c r="M401" t="s">
        <v>167</v>
      </c>
      <c r="O401" t="s">
        <v>167</v>
      </c>
      <c r="Q401" t="s">
        <v>167</v>
      </c>
      <c r="S401" t="s">
        <v>167</v>
      </c>
      <c r="U401" t="s">
        <v>167</v>
      </c>
      <c r="W401" t="s">
        <v>167</v>
      </c>
      <c r="Y401" t="s">
        <v>167</v>
      </c>
    </row>
    <row r="402">
      <c r="G402" t="s">
        <v>167</v>
      </c>
      <c r="I402" t="s">
        <v>167</v>
      </c>
      <c r="K402" t="s">
        <v>167</v>
      </c>
      <c r="M402" t="s">
        <v>167</v>
      </c>
      <c r="O402" t="s">
        <v>167</v>
      </c>
      <c r="Q402" t="s">
        <v>167</v>
      </c>
      <c r="S402" t="s">
        <v>167</v>
      </c>
      <c r="U402" t="s">
        <v>167</v>
      </c>
      <c r="W402" t="s">
        <v>167</v>
      </c>
      <c r="Y402" t="s">
        <v>167</v>
      </c>
    </row>
    <row r="403">
      <c r="G403" t="s">
        <v>167</v>
      </c>
      <c r="I403" t="s">
        <v>167</v>
      </c>
      <c r="K403" t="s">
        <v>167</v>
      </c>
      <c r="M403" t="s">
        <v>167</v>
      </c>
      <c r="O403" t="s">
        <v>167</v>
      </c>
      <c r="Q403" t="s">
        <v>167</v>
      </c>
      <c r="S403" t="s">
        <v>167</v>
      </c>
      <c r="U403" t="s">
        <v>167</v>
      </c>
      <c r="W403" t="s">
        <v>167</v>
      </c>
      <c r="Y403" t="s">
        <v>167</v>
      </c>
    </row>
    <row r="404">
      <c r="G404" t="s">
        <v>167</v>
      </c>
      <c r="I404" t="s">
        <v>167</v>
      </c>
      <c r="K404" t="s">
        <v>167</v>
      </c>
      <c r="M404" t="s">
        <v>167</v>
      </c>
      <c r="O404" t="s">
        <v>167</v>
      </c>
      <c r="Q404" t="s">
        <v>167</v>
      </c>
      <c r="S404" t="s">
        <v>167</v>
      </c>
      <c r="U404" t="s">
        <v>167</v>
      </c>
      <c r="W404" t="s">
        <v>167</v>
      </c>
      <c r="Y404" t="s">
        <v>167</v>
      </c>
    </row>
    <row r="405">
      <c r="G405" t="s">
        <v>167</v>
      </c>
      <c r="I405" t="s">
        <v>167</v>
      </c>
      <c r="K405" t="s">
        <v>167</v>
      </c>
      <c r="M405" t="s">
        <v>167</v>
      </c>
      <c r="O405" t="s">
        <v>167</v>
      </c>
      <c r="Q405" t="s">
        <v>167</v>
      </c>
      <c r="S405" t="s">
        <v>167</v>
      </c>
      <c r="U405" t="s">
        <v>167</v>
      </c>
      <c r="W405" t="s">
        <v>167</v>
      </c>
      <c r="Y405" t="s">
        <v>167</v>
      </c>
    </row>
    <row r="406">
      <c r="G406" t="s">
        <v>167</v>
      </c>
      <c r="I406" t="s">
        <v>167</v>
      </c>
      <c r="K406" t="s">
        <v>167</v>
      </c>
      <c r="M406" t="s">
        <v>167</v>
      </c>
      <c r="O406" t="s">
        <v>167</v>
      </c>
      <c r="Q406" t="s">
        <v>167</v>
      </c>
      <c r="S406" t="s">
        <v>167</v>
      </c>
      <c r="U406" t="s">
        <v>167</v>
      </c>
      <c r="W406" t="s">
        <v>167</v>
      </c>
      <c r="Y406" t="s">
        <v>167</v>
      </c>
    </row>
    <row r="407">
      <c r="G407" t="s">
        <v>167</v>
      </c>
      <c r="I407" t="s">
        <v>167</v>
      </c>
      <c r="K407" t="s">
        <v>167</v>
      </c>
      <c r="M407" t="s">
        <v>167</v>
      </c>
      <c r="O407" t="s">
        <v>167</v>
      </c>
      <c r="Q407" t="s">
        <v>167</v>
      </c>
      <c r="S407" t="s">
        <v>167</v>
      </c>
      <c r="U407" t="s">
        <v>167</v>
      </c>
      <c r="W407" t="s">
        <v>167</v>
      </c>
      <c r="Y407" t="s">
        <v>167</v>
      </c>
    </row>
    <row r="408">
      <c r="G408" t="s">
        <v>167</v>
      </c>
      <c r="I408" t="s">
        <v>167</v>
      </c>
      <c r="K408" t="s">
        <v>167</v>
      </c>
      <c r="M408" t="s">
        <v>167</v>
      </c>
      <c r="O408" t="s">
        <v>167</v>
      </c>
      <c r="Q408" t="s">
        <v>167</v>
      </c>
      <c r="S408" t="s">
        <v>167</v>
      </c>
      <c r="U408" t="s">
        <v>167</v>
      </c>
      <c r="W408" t="s">
        <v>167</v>
      </c>
      <c r="Y408" t="s">
        <v>167</v>
      </c>
    </row>
    <row r="409">
      <c r="G409" t="s">
        <v>167</v>
      </c>
      <c r="I409" t="s">
        <v>167</v>
      </c>
      <c r="K409" t="s">
        <v>167</v>
      </c>
      <c r="M409" t="s">
        <v>167</v>
      </c>
      <c r="O409" t="s">
        <v>167</v>
      </c>
      <c r="Q409" t="s">
        <v>167</v>
      </c>
      <c r="S409" t="s">
        <v>167</v>
      </c>
      <c r="U409" t="s">
        <v>167</v>
      </c>
      <c r="W409" t="s">
        <v>167</v>
      </c>
      <c r="Y409" t="s">
        <v>167</v>
      </c>
    </row>
    <row r="410">
      <c r="G410" t="s">
        <v>167</v>
      </c>
      <c r="I410" t="s">
        <v>167</v>
      </c>
      <c r="K410" t="s">
        <v>167</v>
      </c>
      <c r="M410" t="s">
        <v>167</v>
      </c>
      <c r="O410" t="s">
        <v>167</v>
      </c>
      <c r="Q410" t="s">
        <v>167</v>
      </c>
      <c r="S410" t="s">
        <v>167</v>
      </c>
      <c r="U410" t="s">
        <v>167</v>
      </c>
      <c r="W410" t="s">
        <v>167</v>
      </c>
      <c r="Y410" t="s">
        <v>167</v>
      </c>
    </row>
    <row r="411">
      <c r="G411" t="s">
        <v>167</v>
      </c>
      <c r="I411" t="s">
        <v>167</v>
      </c>
      <c r="K411" t="s">
        <v>167</v>
      </c>
      <c r="M411" t="s">
        <v>167</v>
      </c>
      <c r="O411" t="s">
        <v>167</v>
      </c>
      <c r="Q411" t="s">
        <v>167</v>
      </c>
      <c r="S411" t="s">
        <v>167</v>
      </c>
      <c r="U411" t="s">
        <v>167</v>
      </c>
      <c r="W411" t="s">
        <v>167</v>
      </c>
      <c r="Y411" t="s">
        <v>167</v>
      </c>
    </row>
    <row r="412">
      <c r="G412" t="s">
        <v>167</v>
      </c>
      <c r="I412" t="s">
        <v>167</v>
      </c>
      <c r="K412" t="s">
        <v>167</v>
      </c>
      <c r="M412" t="s">
        <v>167</v>
      </c>
      <c r="O412" t="s">
        <v>167</v>
      </c>
      <c r="Q412" t="s">
        <v>167</v>
      </c>
      <c r="S412" t="s">
        <v>167</v>
      </c>
      <c r="U412" t="s">
        <v>167</v>
      </c>
      <c r="W412" t="s">
        <v>167</v>
      </c>
      <c r="Y412" t="s">
        <v>167</v>
      </c>
    </row>
    <row r="413">
      <c r="G413" t="s">
        <v>167</v>
      </c>
      <c r="I413" t="s">
        <v>167</v>
      </c>
      <c r="K413" t="s">
        <v>167</v>
      </c>
      <c r="M413" t="s">
        <v>167</v>
      </c>
      <c r="O413" t="s">
        <v>167</v>
      </c>
      <c r="Q413" t="s">
        <v>167</v>
      </c>
      <c r="S413" t="s">
        <v>167</v>
      </c>
      <c r="U413" t="s">
        <v>167</v>
      </c>
      <c r="W413" t="s">
        <v>167</v>
      </c>
      <c r="Y413" t="s">
        <v>167</v>
      </c>
    </row>
    <row r="414">
      <c r="G414" t="s">
        <v>167</v>
      </c>
      <c r="I414" t="s">
        <v>167</v>
      </c>
      <c r="K414" t="s">
        <v>167</v>
      </c>
      <c r="M414" t="s">
        <v>167</v>
      </c>
      <c r="O414" t="s">
        <v>167</v>
      </c>
      <c r="Q414" t="s">
        <v>167</v>
      </c>
      <c r="S414" t="s">
        <v>167</v>
      </c>
      <c r="U414" t="s">
        <v>167</v>
      </c>
      <c r="W414" t="s">
        <v>167</v>
      </c>
      <c r="Y414" t="s">
        <v>167</v>
      </c>
    </row>
    <row r="415">
      <c r="G415" t="s">
        <v>167</v>
      </c>
      <c r="I415" t="s">
        <v>167</v>
      </c>
      <c r="K415" t="s">
        <v>167</v>
      </c>
      <c r="M415" t="s">
        <v>167</v>
      </c>
      <c r="O415" t="s">
        <v>167</v>
      </c>
      <c r="Q415" t="s">
        <v>167</v>
      </c>
      <c r="S415" t="s">
        <v>167</v>
      </c>
      <c r="U415" t="s">
        <v>167</v>
      </c>
      <c r="W415" t="s">
        <v>167</v>
      </c>
      <c r="Y415" t="s">
        <v>167</v>
      </c>
    </row>
    <row r="416">
      <c r="G416" t="s">
        <v>167</v>
      </c>
      <c r="I416" t="s">
        <v>167</v>
      </c>
      <c r="K416" t="s">
        <v>167</v>
      </c>
      <c r="M416" t="s">
        <v>167</v>
      </c>
      <c r="O416" t="s">
        <v>167</v>
      </c>
      <c r="Q416" t="s">
        <v>167</v>
      </c>
      <c r="S416" t="s">
        <v>167</v>
      </c>
      <c r="U416" t="s">
        <v>167</v>
      </c>
      <c r="W416" t="s">
        <v>167</v>
      </c>
      <c r="Y416" t="s">
        <v>167</v>
      </c>
    </row>
    <row r="417">
      <c r="G417" t="s">
        <v>167</v>
      </c>
      <c r="I417" t="s">
        <v>167</v>
      </c>
      <c r="K417" t="s">
        <v>167</v>
      </c>
      <c r="M417" t="s">
        <v>167</v>
      </c>
      <c r="O417" t="s">
        <v>167</v>
      </c>
      <c r="Q417" t="s">
        <v>167</v>
      </c>
      <c r="S417" t="s">
        <v>167</v>
      </c>
      <c r="U417" t="s">
        <v>167</v>
      </c>
      <c r="W417" t="s">
        <v>167</v>
      </c>
      <c r="Y417" t="s">
        <v>167</v>
      </c>
    </row>
    <row r="418">
      <c r="G418" t="s">
        <v>167</v>
      </c>
      <c r="I418" t="s">
        <v>167</v>
      </c>
      <c r="K418" t="s">
        <v>167</v>
      </c>
      <c r="M418" t="s">
        <v>167</v>
      </c>
      <c r="O418" t="s">
        <v>167</v>
      </c>
      <c r="Q418" t="s">
        <v>167</v>
      </c>
      <c r="S418" t="s">
        <v>167</v>
      </c>
      <c r="U418" t="s">
        <v>167</v>
      </c>
      <c r="W418" t="s">
        <v>167</v>
      </c>
      <c r="Y418" t="s">
        <v>167</v>
      </c>
    </row>
    <row r="419">
      <c r="G419" t="s">
        <v>167</v>
      </c>
      <c r="I419" t="s">
        <v>167</v>
      </c>
      <c r="K419" t="s">
        <v>167</v>
      </c>
      <c r="M419" t="s">
        <v>167</v>
      </c>
      <c r="O419" t="s">
        <v>167</v>
      </c>
      <c r="Q419" t="s">
        <v>167</v>
      </c>
      <c r="S419" t="s">
        <v>167</v>
      </c>
      <c r="U419" t="s">
        <v>167</v>
      </c>
      <c r="W419" t="s">
        <v>167</v>
      </c>
      <c r="Y419" t="s">
        <v>167</v>
      </c>
    </row>
    <row r="420">
      <c r="G420" t="s">
        <v>167</v>
      </c>
      <c r="I420" t="s">
        <v>167</v>
      </c>
      <c r="K420" t="s">
        <v>167</v>
      </c>
      <c r="M420" t="s">
        <v>167</v>
      </c>
      <c r="O420" t="s">
        <v>167</v>
      </c>
      <c r="Q420" t="s">
        <v>167</v>
      </c>
      <c r="S420" t="s">
        <v>167</v>
      </c>
      <c r="U420" t="s">
        <v>167</v>
      </c>
      <c r="W420" t="s">
        <v>167</v>
      </c>
      <c r="Y420" t="s">
        <v>167</v>
      </c>
    </row>
    <row r="421">
      <c r="G421" t="s">
        <v>167</v>
      </c>
      <c r="I421" t="s">
        <v>167</v>
      </c>
      <c r="K421" t="s">
        <v>167</v>
      </c>
      <c r="M421" t="s">
        <v>167</v>
      </c>
      <c r="O421" t="s">
        <v>167</v>
      </c>
      <c r="Q421" t="s">
        <v>167</v>
      </c>
      <c r="S421" t="s">
        <v>167</v>
      </c>
      <c r="U421" t="s">
        <v>167</v>
      </c>
      <c r="W421" t="s">
        <v>167</v>
      </c>
      <c r="Y421" t="s">
        <v>167</v>
      </c>
    </row>
    <row r="422">
      <c r="G422" t="s">
        <v>167</v>
      </c>
      <c r="I422" t="s">
        <v>167</v>
      </c>
      <c r="K422" t="s">
        <v>167</v>
      </c>
      <c r="M422" t="s">
        <v>167</v>
      </c>
      <c r="O422" t="s">
        <v>167</v>
      </c>
      <c r="Q422" t="s">
        <v>167</v>
      </c>
      <c r="S422" t="s">
        <v>167</v>
      </c>
      <c r="U422" t="s">
        <v>167</v>
      </c>
      <c r="W422" t="s">
        <v>167</v>
      </c>
      <c r="Y422" t="s">
        <v>167</v>
      </c>
    </row>
    <row r="423">
      <c r="G423" t="s">
        <v>167</v>
      </c>
      <c r="I423" t="s">
        <v>167</v>
      </c>
      <c r="K423" t="s">
        <v>167</v>
      </c>
      <c r="M423" t="s">
        <v>167</v>
      </c>
      <c r="O423" t="s">
        <v>167</v>
      </c>
      <c r="Q423" t="s">
        <v>167</v>
      </c>
      <c r="S423" t="s">
        <v>167</v>
      </c>
      <c r="U423" t="s">
        <v>167</v>
      </c>
      <c r="W423" t="s">
        <v>167</v>
      </c>
      <c r="Y423" t="s">
        <v>167</v>
      </c>
    </row>
    <row r="424">
      <c r="G424" t="s">
        <v>167</v>
      </c>
      <c r="I424" t="s">
        <v>167</v>
      </c>
      <c r="K424" t="s">
        <v>167</v>
      </c>
      <c r="M424" t="s">
        <v>167</v>
      </c>
      <c r="O424" t="s">
        <v>167</v>
      </c>
      <c r="Q424" t="s">
        <v>167</v>
      </c>
      <c r="S424" t="s">
        <v>167</v>
      </c>
      <c r="U424" t="s">
        <v>167</v>
      </c>
      <c r="W424" t="s">
        <v>167</v>
      </c>
      <c r="Y424" t="s">
        <v>167</v>
      </c>
    </row>
    <row r="425">
      <c r="G425" t="s">
        <v>167</v>
      </c>
      <c r="I425" t="s">
        <v>167</v>
      </c>
      <c r="K425" t="s">
        <v>167</v>
      </c>
      <c r="M425" t="s">
        <v>167</v>
      </c>
      <c r="O425" t="s">
        <v>167</v>
      </c>
      <c r="Q425" t="s">
        <v>167</v>
      </c>
      <c r="S425" t="s">
        <v>167</v>
      </c>
      <c r="U425" t="s">
        <v>167</v>
      </c>
      <c r="W425" t="s">
        <v>167</v>
      </c>
      <c r="Y425" t="s">
        <v>167</v>
      </c>
    </row>
    <row r="426">
      <c r="G426" t="s">
        <v>167</v>
      </c>
      <c r="I426" t="s">
        <v>167</v>
      </c>
      <c r="K426" t="s">
        <v>167</v>
      </c>
      <c r="M426" t="s">
        <v>167</v>
      </c>
      <c r="O426" t="s">
        <v>167</v>
      </c>
      <c r="Q426" t="s">
        <v>167</v>
      </c>
      <c r="S426" t="s">
        <v>167</v>
      </c>
      <c r="U426" t="s">
        <v>167</v>
      </c>
      <c r="W426" t="s">
        <v>167</v>
      </c>
      <c r="Y426" t="s">
        <v>167</v>
      </c>
    </row>
    <row r="427">
      <c r="G427" t="s">
        <v>167</v>
      </c>
      <c r="I427" t="s">
        <v>167</v>
      </c>
      <c r="K427" t="s">
        <v>167</v>
      </c>
      <c r="M427" t="s">
        <v>167</v>
      </c>
      <c r="O427" t="s">
        <v>167</v>
      </c>
      <c r="Q427" t="s">
        <v>167</v>
      </c>
      <c r="S427" t="s">
        <v>167</v>
      </c>
      <c r="U427" t="s">
        <v>167</v>
      </c>
      <c r="W427" t="s">
        <v>167</v>
      </c>
      <c r="Y427" t="s">
        <v>167</v>
      </c>
    </row>
    <row r="428">
      <c r="G428" t="s">
        <v>167</v>
      </c>
      <c r="I428" t="s">
        <v>167</v>
      </c>
      <c r="K428" t="s">
        <v>167</v>
      </c>
      <c r="M428" t="s">
        <v>167</v>
      </c>
      <c r="O428" t="s">
        <v>167</v>
      </c>
      <c r="Q428" t="s">
        <v>167</v>
      </c>
      <c r="S428" t="s">
        <v>167</v>
      </c>
      <c r="U428" t="s">
        <v>167</v>
      </c>
      <c r="W428" t="s">
        <v>167</v>
      </c>
      <c r="Y428" t="s">
        <v>167</v>
      </c>
    </row>
    <row r="429">
      <c r="G429" t="s">
        <v>167</v>
      </c>
      <c r="I429" t="s">
        <v>167</v>
      </c>
      <c r="K429" t="s">
        <v>167</v>
      </c>
      <c r="M429" t="s">
        <v>167</v>
      </c>
      <c r="O429" t="s">
        <v>167</v>
      </c>
      <c r="Q429" t="s">
        <v>167</v>
      </c>
      <c r="S429" t="s">
        <v>167</v>
      </c>
      <c r="U429" t="s">
        <v>167</v>
      </c>
      <c r="W429" t="s">
        <v>167</v>
      </c>
      <c r="Y429" t="s">
        <v>167</v>
      </c>
    </row>
    <row r="430">
      <c r="G430" t="s">
        <v>167</v>
      </c>
      <c r="I430" t="s">
        <v>167</v>
      </c>
      <c r="K430" t="s">
        <v>167</v>
      </c>
      <c r="M430" t="s">
        <v>167</v>
      </c>
      <c r="O430" t="s">
        <v>167</v>
      </c>
      <c r="Q430" t="s">
        <v>167</v>
      </c>
      <c r="S430" t="s">
        <v>167</v>
      </c>
      <c r="U430" t="s">
        <v>167</v>
      </c>
      <c r="W430" t="s">
        <v>167</v>
      </c>
      <c r="Y430" t="s">
        <v>167</v>
      </c>
    </row>
    <row r="431">
      <c r="G431" t="s">
        <v>167</v>
      </c>
      <c r="I431" t="s">
        <v>167</v>
      </c>
      <c r="K431" t="s">
        <v>167</v>
      </c>
      <c r="M431" t="s">
        <v>167</v>
      </c>
      <c r="O431" t="s">
        <v>167</v>
      </c>
      <c r="Q431" t="s">
        <v>167</v>
      </c>
      <c r="S431" t="s">
        <v>167</v>
      </c>
      <c r="U431" t="s">
        <v>167</v>
      </c>
      <c r="W431" t="s">
        <v>167</v>
      </c>
      <c r="Y431" t="s">
        <v>167</v>
      </c>
    </row>
    <row r="432">
      <c r="G432" t="s">
        <v>167</v>
      </c>
      <c r="I432" t="s">
        <v>167</v>
      </c>
      <c r="K432" t="s">
        <v>167</v>
      </c>
      <c r="M432" t="s">
        <v>167</v>
      </c>
      <c r="O432" t="s">
        <v>167</v>
      </c>
      <c r="Q432" t="s">
        <v>167</v>
      </c>
      <c r="S432" t="s">
        <v>167</v>
      </c>
      <c r="U432" t="s">
        <v>167</v>
      </c>
      <c r="W432" t="s">
        <v>167</v>
      </c>
      <c r="Y432" t="s">
        <v>167</v>
      </c>
    </row>
    <row r="433">
      <c r="G433" t="s">
        <v>167</v>
      </c>
      <c r="I433" t="s">
        <v>167</v>
      </c>
      <c r="K433" t="s">
        <v>167</v>
      </c>
      <c r="M433" t="s">
        <v>167</v>
      </c>
      <c r="O433" t="s">
        <v>167</v>
      </c>
      <c r="Q433" t="s">
        <v>167</v>
      </c>
      <c r="S433" t="s">
        <v>167</v>
      </c>
      <c r="U433" t="s">
        <v>167</v>
      </c>
      <c r="W433" t="s">
        <v>167</v>
      </c>
      <c r="Y433" t="s">
        <v>167</v>
      </c>
    </row>
    <row r="434">
      <c r="G434" t="s">
        <v>167</v>
      </c>
      <c r="I434" t="s">
        <v>167</v>
      </c>
      <c r="K434" t="s">
        <v>167</v>
      </c>
      <c r="M434" t="s">
        <v>167</v>
      </c>
      <c r="O434" t="s">
        <v>167</v>
      </c>
      <c r="Q434" t="s">
        <v>167</v>
      </c>
      <c r="S434" t="s">
        <v>167</v>
      </c>
      <c r="U434" t="s">
        <v>167</v>
      </c>
      <c r="W434" t="s">
        <v>167</v>
      </c>
      <c r="Y434" t="s">
        <v>167</v>
      </c>
    </row>
    <row r="435">
      <c r="G435" t="s">
        <v>167</v>
      </c>
      <c r="I435" t="s">
        <v>167</v>
      </c>
      <c r="K435" t="s">
        <v>167</v>
      </c>
      <c r="M435" t="s">
        <v>167</v>
      </c>
      <c r="O435" t="s">
        <v>167</v>
      </c>
      <c r="Q435" t="s">
        <v>167</v>
      </c>
      <c r="S435" t="s">
        <v>167</v>
      </c>
      <c r="U435" t="s">
        <v>167</v>
      </c>
      <c r="W435" t="s">
        <v>167</v>
      </c>
      <c r="Y435" t="s">
        <v>167</v>
      </c>
    </row>
    <row r="436">
      <c r="G436" t="s">
        <v>167</v>
      </c>
      <c r="I436" t="s">
        <v>167</v>
      </c>
      <c r="K436" t="s">
        <v>167</v>
      </c>
      <c r="M436" t="s">
        <v>167</v>
      </c>
      <c r="O436" t="s">
        <v>167</v>
      </c>
      <c r="Q436" t="s">
        <v>167</v>
      </c>
      <c r="S436" t="s">
        <v>167</v>
      </c>
      <c r="U436" t="s">
        <v>167</v>
      </c>
      <c r="W436" t="s">
        <v>167</v>
      </c>
      <c r="Y436" t="s">
        <v>167</v>
      </c>
    </row>
    <row r="437">
      <c r="G437" t="s">
        <v>167</v>
      </c>
      <c r="I437" t="s">
        <v>167</v>
      </c>
      <c r="K437" t="s">
        <v>167</v>
      </c>
      <c r="M437" t="s">
        <v>167</v>
      </c>
      <c r="O437" t="s">
        <v>167</v>
      </c>
      <c r="Q437" t="s">
        <v>167</v>
      </c>
      <c r="S437" t="s">
        <v>167</v>
      </c>
      <c r="U437" t="s">
        <v>167</v>
      </c>
      <c r="W437" t="s">
        <v>167</v>
      </c>
      <c r="Y437" t="s">
        <v>167</v>
      </c>
    </row>
    <row r="438">
      <c r="G438" t="s">
        <v>167</v>
      </c>
      <c r="I438" t="s">
        <v>167</v>
      </c>
      <c r="K438" t="s">
        <v>167</v>
      </c>
      <c r="M438" t="s">
        <v>167</v>
      </c>
      <c r="O438" t="s">
        <v>167</v>
      </c>
      <c r="Q438" t="s">
        <v>167</v>
      </c>
      <c r="S438" t="s">
        <v>167</v>
      </c>
      <c r="U438" t="s">
        <v>167</v>
      </c>
      <c r="W438" t="s">
        <v>167</v>
      </c>
      <c r="Y438" t="s">
        <v>167</v>
      </c>
    </row>
    <row r="439">
      <c r="G439" t="s">
        <v>167</v>
      </c>
      <c r="I439" t="s">
        <v>167</v>
      </c>
      <c r="K439" t="s">
        <v>167</v>
      </c>
      <c r="M439" t="s">
        <v>167</v>
      </c>
      <c r="O439" t="s">
        <v>167</v>
      </c>
      <c r="Q439" t="s">
        <v>167</v>
      </c>
      <c r="S439" t="s">
        <v>167</v>
      </c>
      <c r="U439" t="s">
        <v>167</v>
      </c>
      <c r="W439" t="s">
        <v>167</v>
      </c>
      <c r="Y439" t="s">
        <v>167</v>
      </c>
    </row>
    <row r="440">
      <c r="G440" t="s">
        <v>167</v>
      </c>
      <c r="I440" t="s">
        <v>167</v>
      </c>
      <c r="K440" t="s">
        <v>167</v>
      </c>
      <c r="M440" t="s">
        <v>167</v>
      </c>
      <c r="O440" t="s">
        <v>167</v>
      </c>
      <c r="Q440" t="s">
        <v>167</v>
      </c>
      <c r="S440" t="s">
        <v>167</v>
      </c>
      <c r="U440" t="s">
        <v>167</v>
      </c>
      <c r="W440" t="s">
        <v>167</v>
      </c>
      <c r="Y440" t="s">
        <v>167</v>
      </c>
    </row>
    <row r="441">
      <c r="G441" t="s">
        <v>167</v>
      </c>
      <c r="I441" t="s">
        <v>167</v>
      </c>
      <c r="K441" t="s">
        <v>167</v>
      </c>
      <c r="M441" t="s">
        <v>167</v>
      </c>
      <c r="O441" t="s">
        <v>167</v>
      </c>
      <c r="Q441" t="s">
        <v>167</v>
      </c>
      <c r="S441" t="s">
        <v>167</v>
      </c>
      <c r="U441" t="s">
        <v>167</v>
      </c>
      <c r="W441" t="s">
        <v>167</v>
      </c>
      <c r="Y441" t="s">
        <v>167</v>
      </c>
    </row>
    <row r="442">
      <c r="G442" t="s">
        <v>167</v>
      </c>
      <c r="I442" t="s">
        <v>167</v>
      </c>
      <c r="K442" t="s">
        <v>167</v>
      </c>
      <c r="M442" t="s">
        <v>167</v>
      </c>
      <c r="O442" t="s">
        <v>167</v>
      </c>
      <c r="Q442" t="s">
        <v>167</v>
      </c>
      <c r="S442" t="s">
        <v>167</v>
      </c>
      <c r="U442" t="s">
        <v>167</v>
      </c>
      <c r="W442" t="s">
        <v>167</v>
      </c>
      <c r="Y442" t="s">
        <v>167</v>
      </c>
    </row>
    <row r="443">
      <c r="G443" t="s">
        <v>167</v>
      </c>
      <c r="I443" t="s">
        <v>167</v>
      </c>
      <c r="K443" t="s">
        <v>167</v>
      </c>
      <c r="M443" t="s">
        <v>167</v>
      </c>
      <c r="O443" t="s">
        <v>167</v>
      </c>
      <c r="Q443" t="s">
        <v>167</v>
      </c>
      <c r="S443" t="s">
        <v>167</v>
      </c>
      <c r="U443" t="s">
        <v>167</v>
      </c>
      <c r="W443" t="s">
        <v>167</v>
      </c>
      <c r="Y443" t="s">
        <v>167</v>
      </c>
    </row>
    <row r="444">
      <c r="G444" t="s">
        <v>167</v>
      </c>
      <c r="I444" t="s">
        <v>167</v>
      </c>
      <c r="K444" t="s">
        <v>167</v>
      </c>
      <c r="M444" t="s">
        <v>167</v>
      </c>
      <c r="O444" t="s">
        <v>167</v>
      </c>
      <c r="Q444" t="s">
        <v>167</v>
      </c>
      <c r="S444" t="s">
        <v>167</v>
      </c>
      <c r="U444" t="s">
        <v>167</v>
      </c>
      <c r="W444" t="s">
        <v>167</v>
      </c>
      <c r="Y444" t="s">
        <v>167</v>
      </c>
    </row>
    <row r="445">
      <c r="G445" t="s">
        <v>167</v>
      </c>
      <c r="I445" t="s">
        <v>167</v>
      </c>
      <c r="K445" t="s">
        <v>167</v>
      </c>
      <c r="M445" t="s">
        <v>167</v>
      </c>
      <c r="O445" t="s">
        <v>167</v>
      </c>
      <c r="Q445" t="s">
        <v>167</v>
      </c>
      <c r="S445" t="s">
        <v>167</v>
      </c>
      <c r="U445" t="s">
        <v>167</v>
      </c>
      <c r="W445" t="s">
        <v>167</v>
      </c>
      <c r="Y445" t="s">
        <v>167</v>
      </c>
    </row>
    <row r="446">
      <c r="G446" t="s">
        <v>167</v>
      </c>
      <c r="I446" t="s">
        <v>167</v>
      </c>
      <c r="K446" t="s">
        <v>167</v>
      </c>
      <c r="M446" t="s">
        <v>167</v>
      </c>
      <c r="O446" t="s">
        <v>167</v>
      </c>
      <c r="Q446" t="s">
        <v>167</v>
      </c>
      <c r="S446" t="s">
        <v>167</v>
      </c>
      <c r="U446" t="s">
        <v>167</v>
      </c>
      <c r="W446" t="s">
        <v>167</v>
      </c>
      <c r="Y446" t="s">
        <v>167</v>
      </c>
    </row>
    <row r="447">
      <c r="G447" t="s">
        <v>167</v>
      </c>
      <c r="I447" t="s">
        <v>167</v>
      </c>
      <c r="K447" t="s">
        <v>167</v>
      </c>
      <c r="M447" t="s">
        <v>167</v>
      </c>
      <c r="O447" t="s">
        <v>167</v>
      </c>
      <c r="Q447" t="s">
        <v>167</v>
      </c>
      <c r="S447" t="s">
        <v>167</v>
      </c>
      <c r="U447" t="s">
        <v>167</v>
      </c>
      <c r="W447" t="s">
        <v>167</v>
      </c>
      <c r="Y447" t="s">
        <v>167</v>
      </c>
    </row>
    <row r="448">
      <c r="G448" t="s">
        <v>167</v>
      </c>
      <c r="I448" t="s">
        <v>167</v>
      </c>
      <c r="K448" t="s">
        <v>167</v>
      </c>
      <c r="M448" t="s">
        <v>167</v>
      </c>
      <c r="O448" t="s">
        <v>167</v>
      </c>
      <c r="Q448" t="s">
        <v>167</v>
      </c>
      <c r="S448" t="s">
        <v>167</v>
      </c>
      <c r="U448" t="s">
        <v>167</v>
      </c>
      <c r="W448" t="s">
        <v>167</v>
      </c>
      <c r="Y448" t="s">
        <v>167</v>
      </c>
    </row>
    <row r="449">
      <c r="G449" t="s">
        <v>167</v>
      </c>
      <c r="I449" t="s">
        <v>167</v>
      </c>
      <c r="K449" t="s">
        <v>167</v>
      </c>
      <c r="M449" t="s">
        <v>167</v>
      </c>
      <c r="O449" t="s">
        <v>167</v>
      </c>
      <c r="Q449" t="s">
        <v>167</v>
      </c>
      <c r="S449" t="s">
        <v>167</v>
      </c>
      <c r="U449" t="s">
        <v>167</v>
      </c>
      <c r="W449" t="s">
        <v>167</v>
      </c>
      <c r="Y449" t="s">
        <v>167</v>
      </c>
    </row>
    <row r="450">
      <c r="G450" t="s">
        <v>167</v>
      </c>
      <c r="I450" t="s">
        <v>167</v>
      </c>
      <c r="K450" t="s">
        <v>167</v>
      </c>
      <c r="M450" t="s">
        <v>167</v>
      </c>
      <c r="O450" t="s">
        <v>167</v>
      </c>
      <c r="Q450" t="s">
        <v>167</v>
      </c>
      <c r="S450" t="s">
        <v>167</v>
      </c>
      <c r="U450" t="s">
        <v>167</v>
      </c>
      <c r="W450" t="s">
        <v>167</v>
      </c>
      <c r="Y450" t="s">
        <v>167</v>
      </c>
    </row>
    <row r="451">
      <c r="G451" t="s">
        <v>167</v>
      </c>
      <c r="I451" t="s">
        <v>167</v>
      </c>
      <c r="K451" t="s">
        <v>167</v>
      </c>
      <c r="M451" t="s">
        <v>167</v>
      </c>
      <c r="O451" t="s">
        <v>167</v>
      </c>
      <c r="Q451" t="s">
        <v>167</v>
      </c>
      <c r="S451" t="s">
        <v>167</v>
      </c>
      <c r="U451" t="s">
        <v>167</v>
      </c>
      <c r="W451" t="s">
        <v>167</v>
      </c>
      <c r="Y451" t="s">
        <v>167</v>
      </c>
    </row>
    <row r="452">
      <c r="G452" t="s">
        <v>167</v>
      </c>
      <c r="I452" t="s">
        <v>167</v>
      </c>
      <c r="K452" t="s">
        <v>167</v>
      </c>
      <c r="M452" t="s">
        <v>167</v>
      </c>
      <c r="O452" t="s">
        <v>167</v>
      </c>
      <c r="Q452" t="s">
        <v>167</v>
      </c>
      <c r="S452" t="s">
        <v>167</v>
      </c>
      <c r="U452" t="s">
        <v>167</v>
      </c>
      <c r="W452" t="s">
        <v>167</v>
      </c>
      <c r="Y452" t="s">
        <v>167</v>
      </c>
    </row>
    <row r="453">
      <c r="G453" t="s">
        <v>167</v>
      </c>
      <c r="I453" t="s">
        <v>167</v>
      </c>
      <c r="K453" t="s">
        <v>167</v>
      </c>
      <c r="M453" t="s">
        <v>167</v>
      </c>
      <c r="O453" t="s">
        <v>167</v>
      </c>
      <c r="Q453" t="s">
        <v>167</v>
      </c>
      <c r="S453" t="s">
        <v>167</v>
      </c>
      <c r="U453" t="s">
        <v>167</v>
      </c>
      <c r="W453" t="s">
        <v>167</v>
      </c>
      <c r="Y453" t="s">
        <v>167</v>
      </c>
    </row>
    <row r="454">
      <c r="G454" t="s">
        <v>167</v>
      </c>
      <c r="I454" t="s">
        <v>167</v>
      </c>
      <c r="K454" t="s">
        <v>167</v>
      </c>
      <c r="M454" t="s">
        <v>167</v>
      </c>
      <c r="O454" t="s">
        <v>167</v>
      </c>
      <c r="Q454" t="s">
        <v>167</v>
      </c>
      <c r="S454" t="s">
        <v>167</v>
      </c>
      <c r="U454" t="s">
        <v>167</v>
      </c>
      <c r="W454" t="s">
        <v>167</v>
      </c>
      <c r="Y454" t="s">
        <v>167</v>
      </c>
    </row>
    <row r="455">
      <c r="G455" t="s">
        <v>167</v>
      </c>
      <c r="I455" t="s">
        <v>167</v>
      </c>
      <c r="K455" t="s">
        <v>167</v>
      </c>
      <c r="M455" t="s">
        <v>167</v>
      </c>
      <c r="O455" t="s">
        <v>167</v>
      </c>
      <c r="Q455" t="s">
        <v>167</v>
      </c>
      <c r="S455" t="s">
        <v>167</v>
      </c>
      <c r="U455" t="s">
        <v>167</v>
      </c>
      <c r="W455" t="s">
        <v>167</v>
      </c>
      <c r="Y455" t="s">
        <v>167</v>
      </c>
    </row>
    <row r="456">
      <c r="G456" t="s">
        <v>167</v>
      </c>
      <c r="I456" t="s">
        <v>167</v>
      </c>
      <c r="K456" t="s">
        <v>167</v>
      </c>
      <c r="M456" t="s">
        <v>167</v>
      </c>
      <c r="O456" t="s">
        <v>167</v>
      </c>
      <c r="Q456" t="s">
        <v>167</v>
      </c>
      <c r="S456" t="s">
        <v>167</v>
      </c>
      <c r="U456" t="s">
        <v>167</v>
      </c>
      <c r="W456" t="s">
        <v>167</v>
      </c>
      <c r="Y456" t="s">
        <v>167</v>
      </c>
    </row>
    <row r="457">
      <c r="G457" t="s">
        <v>167</v>
      </c>
      <c r="I457" t="s">
        <v>167</v>
      </c>
      <c r="K457" t="s">
        <v>167</v>
      </c>
      <c r="M457" t="s">
        <v>167</v>
      </c>
      <c r="O457" t="s">
        <v>167</v>
      </c>
      <c r="Q457" t="s">
        <v>167</v>
      </c>
      <c r="S457" t="s">
        <v>167</v>
      </c>
      <c r="U457" t="s">
        <v>167</v>
      </c>
      <c r="W457" t="s">
        <v>167</v>
      </c>
      <c r="Y457" t="s">
        <v>167</v>
      </c>
    </row>
    <row r="458">
      <c r="G458" t="s">
        <v>167</v>
      </c>
      <c r="I458" t="s">
        <v>167</v>
      </c>
      <c r="K458" t="s">
        <v>167</v>
      </c>
      <c r="M458" t="s">
        <v>167</v>
      </c>
      <c r="O458" t="s">
        <v>167</v>
      </c>
      <c r="Q458" t="s">
        <v>167</v>
      </c>
      <c r="S458" t="s">
        <v>167</v>
      </c>
      <c r="U458" t="s">
        <v>167</v>
      </c>
      <c r="W458" t="s">
        <v>167</v>
      </c>
      <c r="Y458" t="s">
        <v>167</v>
      </c>
    </row>
    <row r="459">
      <c r="G459" t="s">
        <v>167</v>
      </c>
      <c r="I459" t="s">
        <v>167</v>
      </c>
      <c r="K459" t="s">
        <v>167</v>
      </c>
      <c r="M459" t="s">
        <v>167</v>
      </c>
      <c r="O459" t="s">
        <v>167</v>
      </c>
      <c r="Q459" t="s">
        <v>167</v>
      </c>
      <c r="S459" t="s">
        <v>167</v>
      </c>
      <c r="U459" t="s">
        <v>167</v>
      </c>
      <c r="W459" t="s">
        <v>167</v>
      </c>
      <c r="Y459" t="s">
        <v>167</v>
      </c>
    </row>
    <row r="460">
      <c r="G460" t="s">
        <v>167</v>
      </c>
      <c r="I460" t="s">
        <v>167</v>
      </c>
      <c r="K460" t="s">
        <v>167</v>
      </c>
      <c r="M460" t="s">
        <v>167</v>
      </c>
      <c r="O460" t="s">
        <v>167</v>
      </c>
      <c r="Q460" t="s">
        <v>167</v>
      </c>
      <c r="S460" t="s">
        <v>167</v>
      </c>
      <c r="U460" t="s">
        <v>167</v>
      </c>
      <c r="W460" t="s">
        <v>167</v>
      </c>
      <c r="Y460" t="s">
        <v>167</v>
      </c>
    </row>
    <row r="461">
      <c r="G461" t="s">
        <v>167</v>
      </c>
      <c r="I461" t="s">
        <v>167</v>
      </c>
      <c r="K461" t="s">
        <v>167</v>
      </c>
      <c r="M461" t="s">
        <v>167</v>
      </c>
      <c r="O461" t="s">
        <v>167</v>
      </c>
      <c r="Q461" t="s">
        <v>167</v>
      </c>
      <c r="S461" t="s">
        <v>167</v>
      </c>
      <c r="U461" t="s">
        <v>167</v>
      </c>
      <c r="W461" t="s">
        <v>167</v>
      </c>
      <c r="Y461" t="s">
        <v>167</v>
      </c>
    </row>
    <row r="462">
      <c r="G462" t="s">
        <v>167</v>
      </c>
      <c r="I462" t="s">
        <v>167</v>
      </c>
      <c r="K462" t="s">
        <v>167</v>
      </c>
      <c r="M462" t="s">
        <v>167</v>
      </c>
      <c r="O462" t="s">
        <v>167</v>
      </c>
      <c r="Q462" t="s">
        <v>167</v>
      </c>
      <c r="S462" t="s">
        <v>167</v>
      </c>
      <c r="U462" t="s">
        <v>167</v>
      </c>
      <c r="W462" t="s">
        <v>167</v>
      </c>
      <c r="Y462" t="s">
        <v>167</v>
      </c>
    </row>
    <row r="463">
      <c r="G463" t="s">
        <v>167</v>
      </c>
      <c r="I463" t="s">
        <v>167</v>
      </c>
      <c r="K463" t="s">
        <v>167</v>
      </c>
      <c r="M463" t="s">
        <v>167</v>
      </c>
      <c r="O463" t="s">
        <v>167</v>
      </c>
      <c r="Q463" t="s">
        <v>167</v>
      </c>
      <c r="S463" t="s">
        <v>167</v>
      </c>
      <c r="U463" t="s">
        <v>167</v>
      </c>
      <c r="W463" t="s">
        <v>167</v>
      </c>
      <c r="Y463" t="s">
        <v>167</v>
      </c>
    </row>
    <row r="464">
      <c r="G464" t="s">
        <v>167</v>
      </c>
      <c r="I464" t="s">
        <v>167</v>
      </c>
      <c r="K464" t="s">
        <v>167</v>
      </c>
      <c r="M464" t="s">
        <v>167</v>
      </c>
      <c r="O464" t="s">
        <v>167</v>
      </c>
      <c r="Q464" t="s">
        <v>167</v>
      </c>
      <c r="S464" t="s">
        <v>167</v>
      </c>
      <c r="U464" t="s">
        <v>167</v>
      </c>
      <c r="W464" t="s">
        <v>167</v>
      </c>
      <c r="Y464" t="s">
        <v>167</v>
      </c>
    </row>
    <row r="465">
      <c r="G465" t="s">
        <v>167</v>
      </c>
      <c r="I465" t="s">
        <v>167</v>
      </c>
      <c r="K465" t="s">
        <v>167</v>
      </c>
      <c r="M465" t="s">
        <v>167</v>
      </c>
      <c r="O465" t="s">
        <v>167</v>
      </c>
      <c r="Q465" t="s">
        <v>167</v>
      </c>
      <c r="S465" t="s">
        <v>167</v>
      </c>
      <c r="U465" t="s">
        <v>167</v>
      </c>
      <c r="W465" t="s">
        <v>167</v>
      </c>
      <c r="Y465" t="s">
        <v>167</v>
      </c>
    </row>
    <row r="466">
      <c r="G466" t="s">
        <v>167</v>
      </c>
      <c r="I466" t="s">
        <v>167</v>
      </c>
      <c r="K466" t="s">
        <v>167</v>
      </c>
      <c r="M466" t="s">
        <v>167</v>
      </c>
      <c r="O466" t="s">
        <v>167</v>
      </c>
      <c r="Q466" t="s">
        <v>167</v>
      </c>
      <c r="S466" t="s">
        <v>167</v>
      </c>
      <c r="U466" t="s">
        <v>167</v>
      </c>
      <c r="W466" t="s">
        <v>167</v>
      </c>
      <c r="Y466" t="s">
        <v>167</v>
      </c>
    </row>
    <row r="467">
      <c r="G467" t="s">
        <v>167</v>
      </c>
      <c r="I467" t="s">
        <v>167</v>
      </c>
      <c r="K467" t="s">
        <v>167</v>
      </c>
      <c r="M467" t="s">
        <v>167</v>
      </c>
      <c r="O467" t="s">
        <v>167</v>
      </c>
      <c r="Q467" t="s">
        <v>167</v>
      </c>
      <c r="S467" t="s">
        <v>167</v>
      </c>
      <c r="U467" t="s">
        <v>167</v>
      </c>
      <c r="W467" t="s">
        <v>167</v>
      </c>
      <c r="Y467" t="s">
        <v>167</v>
      </c>
    </row>
    <row r="468">
      <c r="G468" t="s">
        <v>167</v>
      </c>
      <c r="I468" t="s">
        <v>167</v>
      </c>
      <c r="K468" t="s">
        <v>167</v>
      </c>
      <c r="M468" t="s">
        <v>167</v>
      </c>
      <c r="O468" t="s">
        <v>167</v>
      </c>
      <c r="Q468" t="s">
        <v>167</v>
      </c>
      <c r="S468" t="s">
        <v>167</v>
      </c>
      <c r="U468" t="s">
        <v>167</v>
      </c>
      <c r="W468" t="s">
        <v>167</v>
      </c>
      <c r="Y468" t="s">
        <v>167</v>
      </c>
    </row>
    <row r="469">
      <c r="G469" t="s">
        <v>167</v>
      </c>
      <c r="I469" t="s">
        <v>167</v>
      </c>
      <c r="K469" t="s">
        <v>167</v>
      </c>
      <c r="M469" t="s">
        <v>167</v>
      </c>
      <c r="O469" t="s">
        <v>167</v>
      </c>
      <c r="Q469" t="s">
        <v>167</v>
      </c>
      <c r="S469" t="s">
        <v>167</v>
      </c>
      <c r="U469" t="s">
        <v>167</v>
      </c>
      <c r="W469" t="s">
        <v>167</v>
      </c>
      <c r="Y469" t="s">
        <v>167</v>
      </c>
    </row>
    <row r="470">
      <c r="G470" t="s">
        <v>167</v>
      </c>
      <c r="I470" t="s">
        <v>167</v>
      </c>
      <c r="K470" t="s">
        <v>167</v>
      </c>
      <c r="M470" t="s">
        <v>167</v>
      </c>
      <c r="O470" t="s">
        <v>167</v>
      </c>
      <c r="Q470" t="s">
        <v>167</v>
      </c>
      <c r="S470" t="s">
        <v>167</v>
      </c>
      <c r="U470" t="s">
        <v>167</v>
      </c>
      <c r="W470" t="s">
        <v>167</v>
      </c>
      <c r="Y470" t="s">
        <v>167</v>
      </c>
    </row>
    <row r="471">
      <c r="G471" t="s">
        <v>167</v>
      </c>
      <c r="I471" t="s">
        <v>167</v>
      </c>
      <c r="K471" t="s">
        <v>167</v>
      </c>
      <c r="M471" t="s">
        <v>167</v>
      </c>
      <c r="O471" t="s">
        <v>167</v>
      </c>
      <c r="Q471" t="s">
        <v>167</v>
      </c>
      <c r="S471" t="s">
        <v>167</v>
      </c>
      <c r="U471" t="s">
        <v>167</v>
      </c>
      <c r="W471" t="s">
        <v>167</v>
      </c>
      <c r="Y471" t="s">
        <v>167</v>
      </c>
    </row>
    <row r="472">
      <c r="G472" t="s">
        <v>167</v>
      </c>
      <c r="I472" t="s">
        <v>167</v>
      </c>
      <c r="K472" t="s">
        <v>167</v>
      </c>
      <c r="M472" t="s">
        <v>167</v>
      </c>
      <c r="O472" t="s">
        <v>167</v>
      </c>
      <c r="Q472" t="s">
        <v>167</v>
      </c>
      <c r="S472" t="s">
        <v>167</v>
      </c>
      <c r="U472" t="s">
        <v>167</v>
      </c>
      <c r="W472" t="s">
        <v>167</v>
      </c>
      <c r="Y472" t="s">
        <v>167</v>
      </c>
    </row>
    <row r="473">
      <c r="G473" t="s">
        <v>167</v>
      </c>
      <c r="I473" t="s">
        <v>167</v>
      </c>
      <c r="K473" t="s">
        <v>167</v>
      </c>
      <c r="M473" t="s">
        <v>167</v>
      </c>
      <c r="O473" t="s">
        <v>167</v>
      </c>
      <c r="Q473" t="s">
        <v>167</v>
      </c>
      <c r="S473" t="s">
        <v>167</v>
      </c>
      <c r="U473" t="s">
        <v>167</v>
      </c>
      <c r="W473" t="s">
        <v>167</v>
      </c>
      <c r="Y473" t="s">
        <v>167</v>
      </c>
    </row>
    <row r="474">
      <c r="G474" t="s">
        <v>167</v>
      </c>
      <c r="I474" t="s">
        <v>167</v>
      </c>
      <c r="K474" t="s">
        <v>167</v>
      </c>
      <c r="M474" t="s">
        <v>167</v>
      </c>
      <c r="O474" t="s">
        <v>167</v>
      </c>
      <c r="Q474" t="s">
        <v>167</v>
      </c>
      <c r="S474" t="s">
        <v>167</v>
      </c>
      <c r="U474" t="s">
        <v>167</v>
      </c>
      <c r="W474" t="s">
        <v>167</v>
      </c>
      <c r="Y474" t="s">
        <v>167</v>
      </c>
    </row>
    <row r="475">
      <c r="G475" t="s">
        <v>167</v>
      </c>
      <c r="I475" t="s">
        <v>167</v>
      </c>
      <c r="K475" t="s">
        <v>167</v>
      </c>
      <c r="M475" t="s">
        <v>167</v>
      </c>
      <c r="O475" t="s">
        <v>167</v>
      </c>
      <c r="Q475" t="s">
        <v>167</v>
      </c>
      <c r="S475" t="s">
        <v>167</v>
      </c>
      <c r="U475" t="s">
        <v>167</v>
      </c>
      <c r="W475" t="s">
        <v>167</v>
      </c>
      <c r="Y475" t="s">
        <v>167</v>
      </c>
    </row>
    <row r="476">
      <c r="G476" t="s">
        <v>167</v>
      </c>
      <c r="I476" t="s">
        <v>167</v>
      </c>
      <c r="K476" t="s">
        <v>167</v>
      </c>
      <c r="M476" t="s">
        <v>167</v>
      </c>
      <c r="O476" t="s">
        <v>167</v>
      </c>
      <c r="Q476" t="s">
        <v>167</v>
      </c>
      <c r="S476" t="s">
        <v>167</v>
      </c>
      <c r="U476" t="s">
        <v>167</v>
      </c>
      <c r="W476" t="s">
        <v>167</v>
      </c>
      <c r="Y476" t="s">
        <v>167</v>
      </c>
    </row>
    <row r="477">
      <c r="G477" t="s">
        <v>167</v>
      </c>
      <c r="I477" t="s">
        <v>167</v>
      </c>
      <c r="K477" t="s">
        <v>167</v>
      </c>
      <c r="M477" t="s">
        <v>167</v>
      </c>
      <c r="O477" t="s">
        <v>167</v>
      </c>
      <c r="Q477" t="s">
        <v>167</v>
      </c>
      <c r="S477" t="s">
        <v>167</v>
      </c>
      <c r="U477" t="s">
        <v>167</v>
      </c>
      <c r="W477" t="s">
        <v>167</v>
      </c>
      <c r="Y477" t="s">
        <v>167</v>
      </c>
    </row>
    <row r="478">
      <c r="G478" t="s">
        <v>167</v>
      </c>
      <c r="I478" t="s">
        <v>167</v>
      </c>
      <c r="K478" t="s">
        <v>167</v>
      </c>
      <c r="M478" t="s">
        <v>167</v>
      </c>
      <c r="O478" t="s">
        <v>167</v>
      </c>
      <c r="Q478" t="s">
        <v>167</v>
      </c>
      <c r="S478" t="s">
        <v>167</v>
      </c>
      <c r="U478" t="s">
        <v>167</v>
      </c>
      <c r="W478" t="s">
        <v>167</v>
      </c>
      <c r="Y478" t="s">
        <v>167</v>
      </c>
    </row>
    <row r="479">
      <c r="G479" t="s">
        <v>167</v>
      </c>
      <c r="I479" t="s">
        <v>167</v>
      </c>
      <c r="K479" t="s">
        <v>167</v>
      </c>
      <c r="M479" t="s">
        <v>167</v>
      </c>
      <c r="O479" t="s">
        <v>167</v>
      </c>
      <c r="Q479" t="s">
        <v>167</v>
      </c>
      <c r="S479" t="s">
        <v>167</v>
      </c>
      <c r="U479" t="s">
        <v>167</v>
      </c>
      <c r="W479" t="s">
        <v>167</v>
      </c>
      <c r="Y479" t="s">
        <v>167</v>
      </c>
    </row>
    <row r="480">
      <c r="G480" t="s">
        <v>167</v>
      </c>
      <c r="I480" t="s">
        <v>167</v>
      </c>
      <c r="K480" t="s">
        <v>167</v>
      </c>
      <c r="M480" t="s">
        <v>167</v>
      </c>
      <c r="O480" t="s">
        <v>167</v>
      </c>
      <c r="Q480" t="s">
        <v>167</v>
      </c>
      <c r="S480" t="s">
        <v>167</v>
      </c>
      <c r="U480" t="s">
        <v>167</v>
      </c>
      <c r="W480" t="s">
        <v>167</v>
      </c>
      <c r="Y480" t="s">
        <v>167</v>
      </c>
    </row>
    <row r="481">
      <c r="G481" t="s">
        <v>167</v>
      </c>
      <c r="I481" t="s">
        <v>167</v>
      </c>
      <c r="K481" t="s">
        <v>167</v>
      </c>
      <c r="M481" t="s">
        <v>167</v>
      </c>
      <c r="O481" t="s">
        <v>167</v>
      </c>
      <c r="Q481" t="s">
        <v>167</v>
      </c>
      <c r="S481" t="s">
        <v>167</v>
      </c>
      <c r="U481" t="s">
        <v>167</v>
      </c>
      <c r="W481" t="s">
        <v>167</v>
      </c>
      <c r="Y481" t="s">
        <v>167</v>
      </c>
    </row>
    <row r="482">
      <c r="G482" t="s">
        <v>167</v>
      </c>
      <c r="I482" t="s">
        <v>167</v>
      </c>
      <c r="K482" t="s">
        <v>167</v>
      </c>
      <c r="M482" t="s">
        <v>167</v>
      </c>
      <c r="O482" t="s">
        <v>167</v>
      </c>
      <c r="Q482" t="s">
        <v>167</v>
      </c>
      <c r="S482" t="s">
        <v>167</v>
      </c>
      <c r="U482" t="s">
        <v>167</v>
      </c>
      <c r="W482" t="s">
        <v>167</v>
      </c>
      <c r="Y482" t="s">
        <v>167</v>
      </c>
    </row>
    <row r="483">
      <c r="G483" t="s">
        <v>167</v>
      </c>
      <c r="I483" t="s">
        <v>167</v>
      </c>
      <c r="K483" t="s">
        <v>167</v>
      </c>
      <c r="M483" t="s">
        <v>167</v>
      </c>
      <c r="O483" t="s">
        <v>167</v>
      </c>
      <c r="Q483" t="s">
        <v>167</v>
      </c>
      <c r="S483" t="s">
        <v>167</v>
      </c>
      <c r="U483" t="s">
        <v>167</v>
      </c>
      <c r="W483" t="s">
        <v>167</v>
      </c>
      <c r="Y483" t="s">
        <v>167</v>
      </c>
    </row>
    <row r="484">
      <c r="G484" t="s">
        <v>167</v>
      </c>
      <c r="I484" t="s">
        <v>167</v>
      </c>
      <c r="K484" t="s">
        <v>167</v>
      </c>
      <c r="M484" t="s">
        <v>167</v>
      </c>
      <c r="O484" t="s">
        <v>167</v>
      </c>
      <c r="Q484" t="s">
        <v>167</v>
      </c>
      <c r="S484" t="s">
        <v>167</v>
      </c>
      <c r="U484" t="s">
        <v>167</v>
      </c>
      <c r="W484" t="s">
        <v>167</v>
      </c>
      <c r="Y484" t="s">
        <v>167</v>
      </c>
    </row>
    <row r="485">
      <c r="G485" t="s">
        <v>167</v>
      </c>
      <c r="I485" t="s">
        <v>167</v>
      </c>
      <c r="K485" t="s">
        <v>167</v>
      </c>
      <c r="M485" t="s">
        <v>167</v>
      </c>
      <c r="O485" t="s">
        <v>167</v>
      </c>
      <c r="Q485" t="s">
        <v>167</v>
      </c>
      <c r="S485" t="s">
        <v>167</v>
      </c>
      <c r="U485" t="s">
        <v>167</v>
      </c>
      <c r="W485" t="s">
        <v>167</v>
      </c>
      <c r="Y485" t="s">
        <v>167</v>
      </c>
    </row>
    <row r="486">
      <c r="G486" t="s">
        <v>167</v>
      </c>
      <c r="I486" t="s">
        <v>167</v>
      </c>
      <c r="K486" t="s">
        <v>167</v>
      </c>
      <c r="M486" t="s">
        <v>167</v>
      </c>
      <c r="O486" t="s">
        <v>167</v>
      </c>
      <c r="Q486" t="s">
        <v>167</v>
      </c>
      <c r="S486" t="s">
        <v>167</v>
      </c>
      <c r="U486" t="s">
        <v>167</v>
      </c>
      <c r="W486" t="s">
        <v>167</v>
      </c>
      <c r="Y486" t="s">
        <v>167</v>
      </c>
    </row>
    <row r="487">
      <c r="G487" t="s">
        <v>167</v>
      </c>
      <c r="I487" t="s">
        <v>167</v>
      </c>
      <c r="K487" t="s">
        <v>167</v>
      </c>
      <c r="M487" t="s">
        <v>167</v>
      </c>
      <c r="O487" t="s">
        <v>167</v>
      </c>
      <c r="Q487" t="s">
        <v>167</v>
      </c>
      <c r="S487" t="s">
        <v>167</v>
      </c>
      <c r="U487" t="s">
        <v>167</v>
      </c>
      <c r="W487" t="s">
        <v>167</v>
      </c>
      <c r="Y487" t="s">
        <v>167</v>
      </c>
    </row>
    <row r="488">
      <c r="G488" t="s">
        <v>167</v>
      </c>
      <c r="I488" t="s">
        <v>167</v>
      </c>
      <c r="K488" t="s">
        <v>167</v>
      </c>
      <c r="M488" t="s">
        <v>167</v>
      </c>
      <c r="O488" t="s">
        <v>167</v>
      </c>
      <c r="Q488" t="s">
        <v>167</v>
      </c>
      <c r="S488" t="s">
        <v>167</v>
      </c>
      <c r="U488" t="s">
        <v>167</v>
      </c>
      <c r="W488" t="s">
        <v>167</v>
      </c>
      <c r="Y488" t="s">
        <v>167</v>
      </c>
    </row>
    <row r="489">
      <c r="G489" t="s">
        <v>167</v>
      </c>
      <c r="I489" t="s">
        <v>167</v>
      </c>
      <c r="K489" t="s">
        <v>167</v>
      </c>
      <c r="M489" t="s">
        <v>167</v>
      </c>
      <c r="O489" t="s">
        <v>167</v>
      </c>
      <c r="Q489" t="s">
        <v>167</v>
      </c>
      <c r="S489" t="s">
        <v>167</v>
      </c>
      <c r="U489" t="s">
        <v>167</v>
      </c>
      <c r="W489" t="s">
        <v>167</v>
      </c>
      <c r="Y489" t="s">
        <v>167</v>
      </c>
    </row>
    <row r="490">
      <c r="G490" t="s">
        <v>167</v>
      </c>
      <c r="I490" t="s">
        <v>167</v>
      </c>
      <c r="K490" t="s">
        <v>167</v>
      </c>
      <c r="M490" t="s">
        <v>167</v>
      </c>
      <c r="O490" t="s">
        <v>167</v>
      </c>
      <c r="Q490" t="s">
        <v>167</v>
      </c>
      <c r="S490" t="s">
        <v>167</v>
      </c>
      <c r="U490" t="s">
        <v>167</v>
      </c>
      <c r="W490" t="s">
        <v>167</v>
      </c>
      <c r="Y490" t="s">
        <v>167</v>
      </c>
    </row>
    <row r="491">
      <c r="G491" t="s">
        <v>167</v>
      </c>
      <c r="I491" t="s">
        <v>167</v>
      </c>
      <c r="K491" t="s">
        <v>167</v>
      </c>
      <c r="M491" t="s">
        <v>167</v>
      </c>
      <c r="O491" t="s">
        <v>167</v>
      </c>
      <c r="Q491" t="s">
        <v>167</v>
      </c>
      <c r="S491" t="s">
        <v>167</v>
      </c>
      <c r="U491" t="s">
        <v>167</v>
      </c>
      <c r="W491" t="s">
        <v>167</v>
      </c>
      <c r="Y491" t="s">
        <v>167</v>
      </c>
    </row>
    <row r="492">
      <c r="G492" t="s">
        <v>167</v>
      </c>
      <c r="I492" t="s">
        <v>167</v>
      </c>
      <c r="K492" t="s">
        <v>167</v>
      </c>
      <c r="M492" t="s">
        <v>167</v>
      </c>
      <c r="O492" t="s">
        <v>167</v>
      </c>
      <c r="Q492" t="s">
        <v>167</v>
      </c>
      <c r="S492" t="s">
        <v>167</v>
      </c>
      <c r="U492" t="s">
        <v>167</v>
      </c>
      <c r="W492" t="s">
        <v>167</v>
      </c>
      <c r="Y492" t="s">
        <v>167</v>
      </c>
    </row>
    <row r="493">
      <c r="G493" t="s">
        <v>167</v>
      </c>
      <c r="I493" t="s">
        <v>167</v>
      </c>
      <c r="K493" t="s">
        <v>167</v>
      </c>
      <c r="M493" t="s">
        <v>167</v>
      </c>
      <c r="O493" t="s">
        <v>167</v>
      </c>
      <c r="Q493" t="s">
        <v>167</v>
      </c>
      <c r="S493" t="s">
        <v>167</v>
      </c>
      <c r="U493" t="s">
        <v>167</v>
      </c>
      <c r="W493" t="s">
        <v>167</v>
      </c>
      <c r="Y493" t="s">
        <v>167</v>
      </c>
    </row>
    <row r="494">
      <c r="G494" t="s">
        <v>167</v>
      </c>
      <c r="I494" t="s">
        <v>167</v>
      </c>
      <c r="K494" t="s">
        <v>167</v>
      </c>
      <c r="M494" t="s">
        <v>167</v>
      </c>
      <c r="O494" t="s">
        <v>167</v>
      </c>
      <c r="Q494" t="s">
        <v>167</v>
      </c>
      <c r="S494" t="s">
        <v>167</v>
      </c>
      <c r="U494" t="s">
        <v>167</v>
      </c>
      <c r="W494" t="s">
        <v>167</v>
      </c>
      <c r="Y494" t="s">
        <v>167</v>
      </c>
    </row>
    <row r="495">
      <c r="G495" t="s">
        <v>167</v>
      </c>
      <c r="I495" t="s">
        <v>167</v>
      </c>
      <c r="K495" t="s">
        <v>167</v>
      </c>
      <c r="M495" t="s">
        <v>167</v>
      </c>
      <c r="O495" t="s">
        <v>167</v>
      </c>
      <c r="Q495" t="s">
        <v>167</v>
      </c>
      <c r="S495" t="s">
        <v>167</v>
      </c>
      <c r="U495" t="s">
        <v>167</v>
      </c>
      <c r="W495" t="s">
        <v>167</v>
      </c>
      <c r="Y495" t="s">
        <v>167</v>
      </c>
    </row>
    <row r="496">
      <c r="G496" t="s">
        <v>167</v>
      </c>
      <c r="I496" t="s">
        <v>167</v>
      </c>
      <c r="K496" t="s">
        <v>167</v>
      </c>
      <c r="M496" t="s">
        <v>167</v>
      </c>
      <c r="O496" t="s">
        <v>167</v>
      </c>
      <c r="Q496" t="s">
        <v>167</v>
      </c>
      <c r="S496" t="s">
        <v>167</v>
      </c>
      <c r="U496" t="s">
        <v>167</v>
      </c>
      <c r="W496" t="s">
        <v>167</v>
      </c>
      <c r="Y496" t="s">
        <v>167</v>
      </c>
    </row>
    <row r="497">
      <c r="G497" t="s">
        <v>167</v>
      </c>
      <c r="I497" t="s">
        <v>167</v>
      </c>
      <c r="K497" t="s">
        <v>167</v>
      </c>
      <c r="M497" t="s">
        <v>167</v>
      </c>
      <c r="O497" t="s">
        <v>167</v>
      </c>
      <c r="Q497" t="s">
        <v>167</v>
      </c>
      <c r="S497" t="s">
        <v>167</v>
      </c>
      <c r="U497" t="s">
        <v>167</v>
      </c>
      <c r="W497" t="s">
        <v>167</v>
      </c>
      <c r="Y497" t="s">
        <v>167</v>
      </c>
    </row>
    <row r="498">
      <c r="G498" t="s">
        <v>167</v>
      </c>
      <c r="I498" t="s">
        <v>167</v>
      </c>
      <c r="K498" t="s">
        <v>167</v>
      </c>
      <c r="M498" t="s">
        <v>167</v>
      </c>
      <c r="O498" t="s">
        <v>167</v>
      </c>
      <c r="Q498" t="s">
        <v>167</v>
      </c>
      <c r="S498" t="s">
        <v>167</v>
      </c>
      <c r="U498" t="s">
        <v>167</v>
      </c>
      <c r="W498" t="s">
        <v>167</v>
      </c>
      <c r="Y498" t="s">
        <v>167</v>
      </c>
    </row>
    <row r="499">
      <c r="G499" t="s">
        <v>167</v>
      </c>
      <c r="I499" t="s">
        <v>167</v>
      </c>
      <c r="K499" t="s">
        <v>167</v>
      </c>
      <c r="M499" t="s">
        <v>167</v>
      </c>
      <c r="O499" t="s">
        <v>167</v>
      </c>
      <c r="Q499" t="s">
        <v>167</v>
      </c>
      <c r="S499" t="s">
        <v>167</v>
      </c>
      <c r="U499" t="s">
        <v>167</v>
      </c>
      <c r="W499" t="s">
        <v>167</v>
      </c>
      <c r="Y499" t="s">
        <v>167</v>
      </c>
    </row>
    <row r="500">
      <c r="G500" t="s">
        <v>167</v>
      </c>
      <c r="I500" t="s">
        <v>167</v>
      </c>
      <c r="K500" t="s">
        <v>167</v>
      </c>
      <c r="M500" t="s">
        <v>167</v>
      </c>
      <c r="O500" t="s">
        <v>167</v>
      </c>
      <c r="Q500" t="s">
        <v>167</v>
      </c>
      <c r="S500" t="s">
        <v>167</v>
      </c>
      <c r="U500" t="s">
        <v>167</v>
      </c>
      <c r="W500" t="s">
        <v>167</v>
      </c>
      <c r="Y500" t="s">
        <v>167</v>
      </c>
    </row>
    <row r="501">
      <c r="G501" t="s">
        <v>167</v>
      </c>
      <c r="I501" t="s">
        <v>167</v>
      </c>
      <c r="K501" t="s">
        <v>167</v>
      </c>
      <c r="M501" t="s">
        <v>167</v>
      </c>
      <c r="O501" t="s">
        <v>167</v>
      </c>
      <c r="Q501" t="s">
        <v>167</v>
      </c>
      <c r="S501" t="s">
        <v>167</v>
      </c>
      <c r="U501" t="s">
        <v>167</v>
      </c>
      <c r="W501" t="s">
        <v>167</v>
      </c>
      <c r="Y501" t="s">
        <v>167</v>
      </c>
    </row>
    <row r="502">
      <c r="G502" t="s">
        <v>167</v>
      </c>
      <c r="I502" t="s">
        <v>167</v>
      </c>
      <c r="K502" t="s">
        <v>167</v>
      </c>
      <c r="M502" t="s">
        <v>167</v>
      </c>
      <c r="O502" t="s">
        <v>167</v>
      </c>
      <c r="Q502" t="s">
        <v>167</v>
      </c>
      <c r="S502" t="s">
        <v>167</v>
      </c>
      <c r="U502" t="s">
        <v>167</v>
      </c>
      <c r="W502" t="s">
        <v>167</v>
      </c>
      <c r="Y502" t="s">
        <v>167</v>
      </c>
    </row>
    <row r="503">
      <c r="G503" t="s">
        <v>167</v>
      </c>
      <c r="I503" t="s">
        <v>167</v>
      </c>
      <c r="K503" t="s">
        <v>167</v>
      </c>
      <c r="M503" t="s">
        <v>167</v>
      </c>
      <c r="O503" t="s">
        <v>167</v>
      </c>
      <c r="Q503" t="s">
        <v>167</v>
      </c>
      <c r="S503" t="s">
        <v>167</v>
      </c>
      <c r="U503" t="s">
        <v>167</v>
      </c>
      <c r="W503" t="s">
        <v>167</v>
      </c>
      <c r="Y503" t="s">
        <v>167</v>
      </c>
    </row>
    <row r="504">
      <c r="G504" t="s">
        <v>167</v>
      </c>
      <c r="I504" t="s">
        <v>167</v>
      </c>
      <c r="K504" t="s">
        <v>167</v>
      </c>
      <c r="M504" t="s">
        <v>167</v>
      </c>
      <c r="O504" t="s">
        <v>167</v>
      </c>
      <c r="Q504" t="s">
        <v>167</v>
      </c>
      <c r="S504" t="s">
        <v>167</v>
      </c>
      <c r="U504" t="s">
        <v>167</v>
      </c>
      <c r="W504" t="s">
        <v>167</v>
      </c>
      <c r="Y504" t="s">
        <v>167</v>
      </c>
    </row>
    <row r="505">
      <c r="G505" t="s">
        <v>167</v>
      </c>
      <c r="I505" t="s">
        <v>167</v>
      </c>
      <c r="K505" t="s">
        <v>167</v>
      </c>
      <c r="M505" t="s">
        <v>167</v>
      </c>
      <c r="O505" t="s">
        <v>167</v>
      </c>
      <c r="Q505" t="s">
        <v>167</v>
      </c>
      <c r="S505" t="s">
        <v>167</v>
      </c>
      <c r="U505" t="s">
        <v>167</v>
      </c>
      <c r="W505" t="s">
        <v>167</v>
      </c>
      <c r="Y505" t="s">
        <v>167</v>
      </c>
    </row>
    <row r="506">
      <c r="G506" t="s">
        <v>167</v>
      </c>
      <c r="I506" t="s">
        <v>167</v>
      </c>
      <c r="K506" t="s">
        <v>167</v>
      </c>
      <c r="M506" t="s">
        <v>167</v>
      </c>
      <c r="O506" t="s">
        <v>167</v>
      </c>
      <c r="Q506" t="s">
        <v>167</v>
      </c>
      <c r="S506" t="s">
        <v>167</v>
      </c>
      <c r="U506" t="s">
        <v>167</v>
      </c>
      <c r="W506" t="s">
        <v>167</v>
      </c>
      <c r="Y506" t="s">
        <v>167</v>
      </c>
    </row>
    <row r="507">
      <c r="G507" t="s">
        <v>167</v>
      </c>
      <c r="I507" t="s">
        <v>167</v>
      </c>
      <c r="K507" t="s">
        <v>167</v>
      </c>
      <c r="M507" t="s">
        <v>167</v>
      </c>
      <c r="O507" t="s">
        <v>167</v>
      </c>
      <c r="Q507" t="s">
        <v>167</v>
      </c>
      <c r="S507" t="s">
        <v>167</v>
      </c>
      <c r="U507" t="s">
        <v>167</v>
      </c>
      <c r="W507" t="s">
        <v>167</v>
      </c>
      <c r="Y507" t="s">
        <v>167</v>
      </c>
    </row>
    <row r="508">
      <c r="G508" t="s">
        <v>167</v>
      </c>
      <c r="I508" t="s">
        <v>167</v>
      </c>
      <c r="K508" t="s">
        <v>167</v>
      </c>
      <c r="M508" t="s">
        <v>167</v>
      </c>
      <c r="O508" t="s">
        <v>167</v>
      </c>
      <c r="Q508" t="s">
        <v>167</v>
      </c>
      <c r="S508" t="s">
        <v>167</v>
      </c>
      <c r="U508" t="s">
        <v>167</v>
      </c>
      <c r="W508" t="s">
        <v>167</v>
      </c>
      <c r="Y508" t="s">
        <v>167</v>
      </c>
    </row>
    <row r="509">
      <c r="G509" t="s">
        <v>167</v>
      </c>
      <c r="I509" t="s">
        <v>167</v>
      </c>
      <c r="K509" t="s">
        <v>167</v>
      </c>
      <c r="M509" t="s">
        <v>167</v>
      </c>
      <c r="O509" t="s">
        <v>167</v>
      </c>
      <c r="Q509" t="s">
        <v>167</v>
      </c>
      <c r="S509" t="s">
        <v>167</v>
      </c>
      <c r="U509" t="s">
        <v>167</v>
      </c>
      <c r="W509" t="s">
        <v>167</v>
      </c>
      <c r="Y509" t="s">
        <v>167</v>
      </c>
    </row>
    <row r="510">
      <c r="G510" t="s">
        <v>167</v>
      </c>
      <c r="I510" t="s">
        <v>167</v>
      </c>
      <c r="K510" t="s">
        <v>167</v>
      </c>
      <c r="M510" t="s">
        <v>167</v>
      </c>
      <c r="O510" t="s">
        <v>167</v>
      </c>
      <c r="Q510" t="s">
        <v>167</v>
      </c>
      <c r="S510" t="s">
        <v>167</v>
      </c>
      <c r="U510" t="s">
        <v>167</v>
      </c>
      <c r="W510" t="s">
        <v>167</v>
      </c>
      <c r="Y510" t="s">
        <v>167</v>
      </c>
    </row>
    <row r="511">
      <c r="G511" t="s">
        <v>167</v>
      </c>
      <c r="I511" t="s">
        <v>167</v>
      </c>
      <c r="K511" t="s">
        <v>167</v>
      </c>
      <c r="M511" t="s">
        <v>167</v>
      </c>
      <c r="O511" t="s">
        <v>167</v>
      </c>
      <c r="Q511" t="s">
        <v>167</v>
      </c>
      <c r="S511" t="s">
        <v>167</v>
      </c>
      <c r="U511" t="s">
        <v>167</v>
      </c>
      <c r="W511" t="s">
        <v>167</v>
      </c>
      <c r="Y511" t="s">
        <v>167</v>
      </c>
    </row>
    <row r="512">
      <c r="G512" t="s">
        <v>167</v>
      </c>
      <c r="I512" t="s">
        <v>167</v>
      </c>
      <c r="K512" t="s">
        <v>167</v>
      </c>
      <c r="M512" t="s">
        <v>167</v>
      </c>
      <c r="O512" t="s">
        <v>167</v>
      </c>
      <c r="Q512" t="s">
        <v>167</v>
      </c>
      <c r="S512" t="s">
        <v>167</v>
      </c>
      <c r="U512" t="s">
        <v>167</v>
      </c>
      <c r="W512" t="s">
        <v>167</v>
      </c>
      <c r="Y512" t="s">
        <v>167</v>
      </c>
    </row>
    <row r="513">
      <c r="G513" t="s">
        <v>167</v>
      </c>
      <c r="I513" t="s">
        <v>167</v>
      </c>
      <c r="K513" t="s">
        <v>167</v>
      </c>
      <c r="M513" t="s">
        <v>167</v>
      </c>
      <c r="O513" t="s">
        <v>167</v>
      </c>
      <c r="Q513" t="s">
        <v>167</v>
      </c>
      <c r="S513" t="s">
        <v>167</v>
      </c>
      <c r="U513" t="s">
        <v>167</v>
      </c>
      <c r="W513" t="s">
        <v>167</v>
      </c>
      <c r="Y513" t="s">
        <v>167</v>
      </c>
    </row>
    <row r="514">
      <c r="G514" t="s">
        <v>167</v>
      </c>
      <c r="I514" t="s">
        <v>167</v>
      </c>
      <c r="K514" t="s">
        <v>167</v>
      </c>
      <c r="M514" t="s">
        <v>167</v>
      </c>
      <c r="O514" t="s">
        <v>167</v>
      </c>
      <c r="Q514" t="s">
        <v>167</v>
      </c>
      <c r="S514" t="s">
        <v>167</v>
      </c>
      <c r="U514" t="s">
        <v>167</v>
      </c>
      <c r="W514" t="s">
        <v>167</v>
      </c>
      <c r="Y514" t="s">
        <v>167</v>
      </c>
    </row>
    <row r="515">
      <c r="G515" t="s">
        <v>167</v>
      </c>
      <c r="I515" t="s">
        <v>167</v>
      </c>
      <c r="K515" t="s">
        <v>167</v>
      </c>
      <c r="M515" t="s">
        <v>167</v>
      </c>
      <c r="O515" t="s">
        <v>167</v>
      </c>
      <c r="Q515" t="s">
        <v>167</v>
      </c>
      <c r="S515" t="s">
        <v>167</v>
      </c>
      <c r="U515" t="s">
        <v>167</v>
      </c>
      <c r="W515" t="s">
        <v>167</v>
      </c>
      <c r="Y515" t="s">
        <v>167</v>
      </c>
    </row>
    <row r="516">
      <c r="G516" t="s">
        <v>167</v>
      </c>
      <c r="I516" t="s">
        <v>167</v>
      </c>
      <c r="K516" t="s">
        <v>167</v>
      </c>
      <c r="M516" t="s">
        <v>167</v>
      </c>
      <c r="O516" t="s">
        <v>167</v>
      </c>
      <c r="Q516" t="s">
        <v>167</v>
      </c>
      <c r="S516" t="s">
        <v>167</v>
      </c>
      <c r="U516" t="s">
        <v>167</v>
      </c>
      <c r="W516" t="s">
        <v>167</v>
      </c>
      <c r="Y516" t="s">
        <v>167</v>
      </c>
    </row>
    <row r="517">
      <c r="G517" t="s">
        <v>167</v>
      </c>
      <c r="I517" t="s">
        <v>167</v>
      </c>
      <c r="K517" t="s">
        <v>167</v>
      </c>
      <c r="M517" t="s">
        <v>167</v>
      </c>
      <c r="O517" t="s">
        <v>167</v>
      </c>
      <c r="Q517" t="s">
        <v>167</v>
      </c>
      <c r="S517" t="s">
        <v>167</v>
      </c>
      <c r="U517" t="s">
        <v>167</v>
      </c>
      <c r="W517" t="s">
        <v>167</v>
      </c>
      <c r="Y517" t="s">
        <v>167</v>
      </c>
    </row>
    <row r="518">
      <c r="G518" t="s">
        <v>167</v>
      </c>
      <c r="I518" t="s">
        <v>167</v>
      </c>
      <c r="K518" t="s">
        <v>167</v>
      </c>
      <c r="M518" t="s">
        <v>167</v>
      </c>
      <c r="O518" t="s">
        <v>167</v>
      </c>
      <c r="Q518" t="s">
        <v>167</v>
      </c>
      <c r="S518" t="s">
        <v>167</v>
      </c>
      <c r="U518" t="s">
        <v>167</v>
      </c>
      <c r="W518" t="s">
        <v>167</v>
      </c>
      <c r="Y518" t="s">
        <v>167</v>
      </c>
    </row>
    <row r="519">
      <c r="G519" t="s">
        <v>167</v>
      </c>
      <c r="I519" t="s">
        <v>167</v>
      </c>
      <c r="K519" t="s">
        <v>167</v>
      </c>
      <c r="M519" t="s">
        <v>167</v>
      </c>
      <c r="O519" t="s">
        <v>167</v>
      </c>
      <c r="Q519" t="s">
        <v>167</v>
      </c>
      <c r="S519" t="s">
        <v>167</v>
      </c>
      <c r="U519" t="s">
        <v>167</v>
      </c>
      <c r="W519" t="s">
        <v>167</v>
      </c>
      <c r="Y519" t="s">
        <v>167</v>
      </c>
    </row>
    <row r="520">
      <c r="G520" t="s">
        <v>167</v>
      </c>
      <c r="I520" t="s">
        <v>167</v>
      </c>
      <c r="K520" t="s">
        <v>167</v>
      </c>
      <c r="M520" t="s">
        <v>167</v>
      </c>
      <c r="O520" t="s">
        <v>167</v>
      </c>
      <c r="Q520" t="s">
        <v>167</v>
      </c>
      <c r="S520" t="s">
        <v>167</v>
      </c>
      <c r="U520" t="s">
        <v>167</v>
      </c>
      <c r="W520" t="s">
        <v>167</v>
      </c>
      <c r="Y520" t="s">
        <v>167</v>
      </c>
    </row>
    <row r="521">
      <c r="G521" t="s">
        <v>167</v>
      </c>
      <c r="I521" t="s">
        <v>167</v>
      </c>
      <c r="K521" t="s">
        <v>167</v>
      </c>
      <c r="M521" t="s">
        <v>167</v>
      </c>
      <c r="O521" t="s">
        <v>167</v>
      </c>
      <c r="Q521" t="s">
        <v>167</v>
      </c>
      <c r="S521" t="s">
        <v>167</v>
      </c>
      <c r="U521" t="s">
        <v>167</v>
      </c>
      <c r="W521" t="s">
        <v>167</v>
      </c>
      <c r="Y521" t="s">
        <v>167</v>
      </c>
    </row>
    <row r="522">
      <c r="G522" t="s">
        <v>167</v>
      </c>
      <c r="I522" t="s">
        <v>167</v>
      </c>
      <c r="K522" t="s">
        <v>167</v>
      </c>
      <c r="M522" t="s">
        <v>167</v>
      </c>
      <c r="O522" t="s">
        <v>167</v>
      </c>
      <c r="Q522" t="s">
        <v>167</v>
      </c>
      <c r="S522" t="s">
        <v>167</v>
      </c>
      <c r="U522" t="s">
        <v>167</v>
      </c>
      <c r="W522" t="s">
        <v>167</v>
      </c>
      <c r="Y522" t="s">
        <v>167</v>
      </c>
    </row>
    <row r="523">
      <c r="G523" t="s">
        <v>167</v>
      </c>
      <c r="I523" t="s">
        <v>167</v>
      </c>
      <c r="K523" t="s">
        <v>167</v>
      </c>
      <c r="M523" t="s">
        <v>167</v>
      </c>
      <c r="O523" t="s">
        <v>167</v>
      </c>
      <c r="Q523" t="s">
        <v>167</v>
      </c>
      <c r="S523" t="s">
        <v>167</v>
      </c>
      <c r="U523" t="s">
        <v>167</v>
      </c>
      <c r="W523" t="s">
        <v>167</v>
      </c>
      <c r="Y523" t="s">
        <v>167</v>
      </c>
    </row>
    <row r="524">
      <c r="G524" t="s">
        <v>167</v>
      </c>
      <c r="I524" t="s">
        <v>167</v>
      </c>
      <c r="K524" t="s">
        <v>167</v>
      </c>
      <c r="M524" t="s">
        <v>167</v>
      </c>
      <c r="O524" t="s">
        <v>167</v>
      </c>
      <c r="Q524" t="s">
        <v>167</v>
      </c>
      <c r="S524" t="s">
        <v>167</v>
      </c>
      <c r="U524" t="s">
        <v>167</v>
      </c>
      <c r="W524" t="s">
        <v>167</v>
      </c>
      <c r="Y524" t="s">
        <v>167</v>
      </c>
    </row>
    <row r="525">
      <c r="G525" t="s">
        <v>167</v>
      </c>
      <c r="I525" t="s">
        <v>167</v>
      </c>
      <c r="K525" t="s">
        <v>167</v>
      </c>
      <c r="M525" t="s">
        <v>167</v>
      </c>
      <c r="O525" t="s">
        <v>167</v>
      </c>
      <c r="Q525" t="s">
        <v>167</v>
      </c>
      <c r="S525" t="s">
        <v>167</v>
      </c>
      <c r="U525" t="s">
        <v>167</v>
      </c>
      <c r="W525" t="s">
        <v>167</v>
      </c>
      <c r="Y525" t="s">
        <v>167</v>
      </c>
    </row>
    <row r="526">
      <c r="G526" t="s">
        <v>167</v>
      </c>
      <c r="I526" t="s">
        <v>167</v>
      </c>
      <c r="K526" t="s">
        <v>167</v>
      </c>
      <c r="M526" t="s">
        <v>167</v>
      </c>
      <c r="O526" t="s">
        <v>167</v>
      </c>
      <c r="Q526" t="s">
        <v>167</v>
      </c>
      <c r="S526" t="s">
        <v>167</v>
      </c>
      <c r="U526" t="s">
        <v>167</v>
      </c>
      <c r="W526" t="s">
        <v>167</v>
      </c>
      <c r="Y526" t="s">
        <v>167</v>
      </c>
    </row>
    <row r="527">
      <c r="G527" t="s">
        <v>167</v>
      </c>
      <c r="I527" t="s">
        <v>167</v>
      </c>
      <c r="K527" t="s">
        <v>167</v>
      </c>
      <c r="M527" t="s">
        <v>167</v>
      </c>
      <c r="O527" t="s">
        <v>167</v>
      </c>
      <c r="Q527" t="s">
        <v>167</v>
      </c>
      <c r="S527" t="s">
        <v>167</v>
      </c>
      <c r="U527" t="s">
        <v>167</v>
      </c>
      <c r="W527" t="s">
        <v>167</v>
      </c>
      <c r="Y527" t="s">
        <v>167</v>
      </c>
    </row>
    <row r="528">
      <c r="G528" t="s">
        <v>167</v>
      </c>
      <c r="I528" t="s">
        <v>167</v>
      </c>
      <c r="K528" t="s">
        <v>167</v>
      </c>
      <c r="M528" t="s">
        <v>167</v>
      </c>
      <c r="O528" t="s">
        <v>167</v>
      </c>
      <c r="Q528" t="s">
        <v>167</v>
      </c>
      <c r="S528" t="s">
        <v>167</v>
      </c>
      <c r="U528" t="s">
        <v>167</v>
      </c>
      <c r="W528" t="s">
        <v>167</v>
      </c>
      <c r="Y528" t="s">
        <v>167</v>
      </c>
    </row>
    <row r="529">
      <c r="G529" t="s">
        <v>167</v>
      </c>
      <c r="I529" t="s">
        <v>167</v>
      </c>
      <c r="K529" t="s">
        <v>167</v>
      </c>
      <c r="M529" t="s">
        <v>167</v>
      </c>
      <c r="O529" t="s">
        <v>167</v>
      </c>
      <c r="Q529" t="s">
        <v>167</v>
      </c>
      <c r="S529" t="s">
        <v>167</v>
      </c>
      <c r="U529" t="s">
        <v>167</v>
      </c>
      <c r="W529" t="s">
        <v>167</v>
      </c>
      <c r="Y529" t="s">
        <v>167</v>
      </c>
    </row>
    <row r="530">
      <c r="G530" t="s">
        <v>167</v>
      </c>
      <c r="I530" t="s">
        <v>167</v>
      </c>
      <c r="K530" t="s">
        <v>167</v>
      </c>
      <c r="M530" t="s">
        <v>167</v>
      </c>
      <c r="O530" t="s">
        <v>167</v>
      </c>
      <c r="Q530" t="s">
        <v>167</v>
      </c>
      <c r="S530" t="s">
        <v>167</v>
      </c>
      <c r="U530" t="s">
        <v>167</v>
      </c>
      <c r="W530" t="s">
        <v>167</v>
      </c>
      <c r="Y530" t="s">
        <v>167</v>
      </c>
    </row>
    <row r="531">
      <c r="G531" t="s">
        <v>167</v>
      </c>
      <c r="I531" t="s">
        <v>167</v>
      </c>
      <c r="K531" t="s">
        <v>167</v>
      </c>
      <c r="M531" t="s">
        <v>167</v>
      </c>
      <c r="O531" t="s">
        <v>167</v>
      </c>
      <c r="Q531" t="s">
        <v>167</v>
      </c>
      <c r="S531" t="s">
        <v>167</v>
      </c>
      <c r="U531" t="s">
        <v>167</v>
      </c>
      <c r="W531" t="s">
        <v>167</v>
      </c>
      <c r="Y531" t="s">
        <v>167</v>
      </c>
    </row>
    <row r="532">
      <c r="G532" t="s">
        <v>167</v>
      </c>
      <c r="I532" t="s">
        <v>167</v>
      </c>
      <c r="K532" t="s">
        <v>167</v>
      </c>
      <c r="M532" t="s">
        <v>167</v>
      </c>
      <c r="O532" t="s">
        <v>167</v>
      </c>
      <c r="Q532" t="s">
        <v>167</v>
      </c>
      <c r="S532" t="s">
        <v>167</v>
      </c>
      <c r="U532" t="s">
        <v>167</v>
      </c>
      <c r="W532" t="s">
        <v>167</v>
      </c>
      <c r="Y532" t="s">
        <v>167</v>
      </c>
    </row>
    <row r="533">
      <c r="G533" t="s">
        <v>167</v>
      </c>
      <c r="I533" t="s">
        <v>167</v>
      </c>
      <c r="K533" t="s">
        <v>167</v>
      </c>
      <c r="M533" t="s">
        <v>167</v>
      </c>
      <c r="O533" t="s">
        <v>167</v>
      </c>
      <c r="Q533" t="s">
        <v>167</v>
      </c>
      <c r="S533" t="s">
        <v>167</v>
      </c>
      <c r="U533" t="s">
        <v>167</v>
      </c>
      <c r="W533" t="s">
        <v>167</v>
      </c>
      <c r="Y533" t="s">
        <v>167</v>
      </c>
    </row>
    <row r="534">
      <c r="G534" t="s">
        <v>167</v>
      </c>
      <c r="I534" t="s">
        <v>167</v>
      </c>
      <c r="K534" t="s">
        <v>167</v>
      </c>
      <c r="M534" t="s">
        <v>167</v>
      </c>
      <c r="O534" t="s">
        <v>167</v>
      </c>
      <c r="Q534" t="s">
        <v>167</v>
      </c>
      <c r="S534" t="s">
        <v>167</v>
      </c>
      <c r="U534" t="s">
        <v>167</v>
      </c>
      <c r="W534" t="s">
        <v>167</v>
      </c>
      <c r="Y534" t="s">
        <v>167</v>
      </c>
    </row>
    <row r="535">
      <c r="G535" t="s">
        <v>167</v>
      </c>
      <c r="I535" t="s">
        <v>167</v>
      </c>
      <c r="K535" t="s">
        <v>167</v>
      </c>
      <c r="M535" t="s">
        <v>167</v>
      </c>
      <c r="O535" t="s">
        <v>167</v>
      </c>
      <c r="Q535" t="s">
        <v>167</v>
      </c>
      <c r="S535" t="s">
        <v>167</v>
      </c>
      <c r="U535" t="s">
        <v>167</v>
      </c>
      <c r="W535" t="s">
        <v>167</v>
      </c>
      <c r="Y535" t="s">
        <v>167</v>
      </c>
    </row>
    <row r="536">
      <c r="G536" t="s">
        <v>167</v>
      </c>
      <c r="I536" t="s">
        <v>167</v>
      </c>
      <c r="K536" t="s">
        <v>167</v>
      </c>
      <c r="M536" t="s">
        <v>167</v>
      </c>
      <c r="O536" t="s">
        <v>167</v>
      </c>
      <c r="Q536" t="s">
        <v>167</v>
      </c>
      <c r="S536" t="s">
        <v>167</v>
      </c>
      <c r="U536" t="s">
        <v>167</v>
      </c>
      <c r="W536" t="s">
        <v>167</v>
      </c>
      <c r="Y536" t="s">
        <v>167</v>
      </c>
    </row>
    <row r="537">
      <c r="G537" t="s">
        <v>167</v>
      </c>
      <c r="I537" t="s">
        <v>167</v>
      </c>
      <c r="K537" t="s">
        <v>167</v>
      </c>
      <c r="M537" t="s">
        <v>167</v>
      </c>
      <c r="O537" t="s">
        <v>167</v>
      </c>
      <c r="Q537" t="s">
        <v>167</v>
      </c>
      <c r="S537" t="s">
        <v>167</v>
      </c>
      <c r="U537" t="s">
        <v>167</v>
      </c>
      <c r="W537" t="s">
        <v>167</v>
      </c>
      <c r="Y537" t="s">
        <v>167</v>
      </c>
    </row>
    <row r="538">
      <c r="G538" t="s">
        <v>167</v>
      </c>
      <c r="I538" t="s">
        <v>167</v>
      </c>
      <c r="K538" t="s">
        <v>167</v>
      </c>
      <c r="M538" t="s">
        <v>167</v>
      </c>
      <c r="O538" t="s">
        <v>167</v>
      </c>
      <c r="Q538" t="s">
        <v>167</v>
      </c>
      <c r="S538" t="s">
        <v>167</v>
      </c>
      <c r="U538" t="s">
        <v>167</v>
      </c>
      <c r="W538" t="s">
        <v>167</v>
      </c>
      <c r="Y538" t="s">
        <v>167</v>
      </c>
    </row>
    <row r="539">
      <c r="G539" t="s">
        <v>167</v>
      </c>
      <c r="I539" t="s">
        <v>167</v>
      </c>
      <c r="K539" t="s">
        <v>167</v>
      </c>
      <c r="M539" t="s">
        <v>167</v>
      </c>
      <c r="O539" t="s">
        <v>167</v>
      </c>
      <c r="Q539" t="s">
        <v>167</v>
      </c>
      <c r="S539" t="s">
        <v>167</v>
      </c>
      <c r="U539" t="s">
        <v>167</v>
      </c>
      <c r="W539" t="s">
        <v>167</v>
      </c>
      <c r="Y539" t="s">
        <v>167</v>
      </c>
    </row>
    <row r="540">
      <c r="G540" t="s">
        <v>167</v>
      </c>
      <c r="I540" t="s">
        <v>167</v>
      </c>
      <c r="K540" t="s">
        <v>167</v>
      </c>
      <c r="M540" t="s">
        <v>167</v>
      </c>
      <c r="O540" t="s">
        <v>167</v>
      </c>
      <c r="Q540" t="s">
        <v>167</v>
      </c>
      <c r="S540" t="s">
        <v>167</v>
      </c>
      <c r="U540" t="s">
        <v>167</v>
      </c>
      <c r="W540" t="s">
        <v>167</v>
      </c>
      <c r="Y540" t="s">
        <v>167</v>
      </c>
    </row>
    <row r="541">
      <c r="G541" t="s">
        <v>167</v>
      </c>
      <c r="I541" t="s">
        <v>167</v>
      </c>
      <c r="K541" t="s">
        <v>167</v>
      </c>
      <c r="M541" t="s">
        <v>167</v>
      </c>
      <c r="O541" t="s">
        <v>167</v>
      </c>
      <c r="Q541" t="s">
        <v>167</v>
      </c>
      <c r="S541" t="s">
        <v>167</v>
      </c>
      <c r="U541" t="s">
        <v>167</v>
      </c>
      <c r="W541" t="s">
        <v>167</v>
      </c>
      <c r="Y541" t="s">
        <v>167</v>
      </c>
    </row>
    <row r="542">
      <c r="G542" t="s">
        <v>167</v>
      </c>
      <c r="I542" t="s">
        <v>167</v>
      </c>
      <c r="K542" t="s">
        <v>167</v>
      </c>
      <c r="M542" t="s">
        <v>167</v>
      </c>
      <c r="O542" t="s">
        <v>167</v>
      </c>
      <c r="Q542" t="s">
        <v>167</v>
      </c>
      <c r="S542" t="s">
        <v>167</v>
      </c>
      <c r="U542" t="s">
        <v>167</v>
      </c>
      <c r="W542" t="s">
        <v>167</v>
      </c>
      <c r="Y542" t="s">
        <v>167</v>
      </c>
    </row>
    <row r="543">
      <c r="G543" t="s">
        <v>167</v>
      </c>
      <c r="I543" t="s">
        <v>167</v>
      </c>
      <c r="K543" t="s">
        <v>167</v>
      </c>
      <c r="M543" t="s">
        <v>167</v>
      </c>
      <c r="O543" t="s">
        <v>167</v>
      </c>
      <c r="Q543" t="s">
        <v>167</v>
      </c>
      <c r="S543" t="s">
        <v>167</v>
      </c>
      <c r="U543" t="s">
        <v>167</v>
      </c>
      <c r="W543" t="s">
        <v>167</v>
      </c>
      <c r="Y543" t="s">
        <v>167</v>
      </c>
    </row>
    <row r="544">
      <c r="G544" t="s">
        <v>167</v>
      </c>
      <c r="I544" t="s">
        <v>167</v>
      </c>
      <c r="K544" t="s">
        <v>167</v>
      </c>
      <c r="M544" t="s">
        <v>167</v>
      </c>
      <c r="O544" t="s">
        <v>167</v>
      </c>
      <c r="Q544" t="s">
        <v>167</v>
      </c>
      <c r="S544" t="s">
        <v>167</v>
      </c>
      <c r="U544" t="s">
        <v>167</v>
      </c>
      <c r="W544" t="s">
        <v>167</v>
      </c>
      <c r="Y544" t="s">
        <v>167</v>
      </c>
    </row>
    <row r="545">
      <c r="G545" t="s">
        <v>167</v>
      </c>
      <c r="I545" t="s">
        <v>167</v>
      </c>
      <c r="K545" t="s">
        <v>167</v>
      </c>
      <c r="M545" t="s">
        <v>167</v>
      </c>
      <c r="O545" t="s">
        <v>167</v>
      </c>
      <c r="Q545" t="s">
        <v>167</v>
      </c>
      <c r="S545" t="s">
        <v>167</v>
      </c>
      <c r="U545" t="s">
        <v>167</v>
      </c>
      <c r="W545" t="s">
        <v>167</v>
      </c>
      <c r="Y545" t="s">
        <v>167</v>
      </c>
    </row>
    <row r="546">
      <c r="G546" t="s">
        <v>167</v>
      </c>
      <c r="I546" t="s">
        <v>167</v>
      </c>
      <c r="K546" t="s">
        <v>167</v>
      </c>
      <c r="M546" t="s">
        <v>167</v>
      </c>
      <c r="O546" t="s">
        <v>167</v>
      </c>
      <c r="Q546" t="s">
        <v>167</v>
      </c>
      <c r="S546" t="s">
        <v>167</v>
      </c>
      <c r="U546" t="s">
        <v>167</v>
      </c>
      <c r="W546" t="s">
        <v>167</v>
      </c>
      <c r="Y546" t="s">
        <v>167</v>
      </c>
    </row>
    <row r="547">
      <c r="G547" t="s">
        <v>167</v>
      </c>
      <c r="I547" t="s">
        <v>167</v>
      </c>
      <c r="K547" t="s">
        <v>167</v>
      </c>
      <c r="M547" t="s">
        <v>167</v>
      </c>
      <c r="O547" t="s">
        <v>167</v>
      </c>
      <c r="Q547" t="s">
        <v>167</v>
      </c>
      <c r="S547" t="s">
        <v>167</v>
      </c>
      <c r="U547" t="s">
        <v>167</v>
      </c>
      <c r="W547" t="s">
        <v>167</v>
      </c>
      <c r="Y547" t="s">
        <v>167</v>
      </c>
    </row>
    <row r="548">
      <c r="G548" t="s">
        <v>167</v>
      </c>
      <c r="I548" t="s">
        <v>167</v>
      </c>
      <c r="K548" t="s">
        <v>167</v>
      </c>
      <c r="M548" t="s">
        <v>167</v>
      </c>
      <c r="O548" t="s">
        <v>167</v>
      </c>
      <c r="Q548" t="s">
        <v>167</v>
      </c>
      <c r="S548" t="s">
        <v>167</v>
      </c>
      <c r="U548" t="s">
        <v>167</v>
      </c>
      <c r="W548" t="s">
        <v>167</v>
      </c>
      <c r="Y548" t="s">
        <v>167</v>
      </c>
    </row>
    <row r="549">
      <c r="G549" t="s">
        <v>167</v>
      </c>
      <c r="I549" t="s">
        <v>167</v>
      </c>
      <c r="K549" t="s">
        <v>167</v>
      </c>
      <c r="M549" t="s">
        <v>167</v>
      </c>
      <c r="O549" t="s">
        <v>167</v>
      </c>
      <c r="Q549" t="s">
        <v>167</v>
      </c>
      <c r="S549" t="s">
        <v>167</v>
      </c>
      <c r="U549" t="s">
        <v>167</v>
      </c>
      <c r="W549" t="s">
        <v>167</v>
      </c>
      <c r="Y549" t="s">
        <v>167</v>
      </c>
    </row>
    <row r="550">
      <c r="G550" t="s">
        <v>167</v>
      </c>
      <c r="I550" t="s">
        <v>167</v>
      </c>
      <c r="K550" t="s">
        <v>167</v>
      </c>
      <c r="M550" t="s">
        <v>167</v>
      </c>
      <c r="O550" t="s">
        <v>167</v>
      </c>
      <c r="Q550" t="s">
        <v>167</v>
      </c>
      <c r="S550" t="s">
        <v>167</v>
      </c>
      <c r="U550" t="s">
        <v>167</v>
      </c>
      <c r="W550" t="s">
        <v>167</v>
      </c>
      <c r="Y550" t="s">
        <v>167</v>
      </c>
    </row>
    <row r="551">
      <c r="G551" t="s">
        <v>167</v>
      </c>
      <c r="I551" t="s">
        <v>167</v>
      </c>
      <c r="K551" t="s">
        <v>167</v>
      </c>
      <c r="M551" t="s">
        <v>167</v>
      </c>
      <c r="O551" t="s">
        <v>167</v>
      </c>
      <c r="Q551" t="s">
        <v>167</v>
      </c>
      <c r="S551" t="s">
        <v>167</v>
      </c>
      <c r="U551" t="s">
        <v>167</v>
      </c>
      <c r="W551" t="s">
        <v>167</v>
      </c>
      <c r="Y551" t="s">
        <v>167</v>
      </c>
    </row>
    <row r="552">
      <c r="G552" t="s">
        <v>167</v>
      </c>
      <c r="I552" t="s">
        <v>167</v>
      </c>
      <c r="K552" t="s">
        <v>167</v>
      </c>
      <c r="M552" t="s">
        <v>167</v>
      </c>
      <c r="O552" t="s">
        <v>167</v>
      </c>
      <c r="Q552" t="s">
        <v>167</v>
      </c>
      <c r="S552" t="s">
        <v>167</v>
      </c>
      <c r="U552" t="s">
        <v>167</v>
      </c>
      <c r="W552" t="s">
        <v>167</v>
      </c>
      <c r="Y552" t="s">
        <v>167</v>
      </c>
    </row>
    <row r="553">
      <c r="G553" t="s">
        <v>167</v>
      </c>
      <c r="I553" t="s">
        <v>167</v>
      </c>
      <c r="K553" t="s">
        <v>167</v>
      </c>
      <c r="M553" t="s">
        <v>167</v>
      </c>
      <c r="O553" t="s">
        <v>167</v>
      </c>
      <c r="Q553" t="s">
        <v>167</v>
      </c>
      <c r="S553" t="s">
        <v>167</v>
      </c>
      <c r="U553" t="s">
        <v>167</v>
      </c>
      <c r="W553" t="s">
        <v>167</v>
      </c>
      <c r="Y553" t="s">
        <v>167</v>
      </c>
    </row>
    <row r="554">
      <c r="G554" t="s">
        <v>167</v>
      </c>
      <c r="I554" t="s">
        <v>167</v>
      </c>
      <c r="K554" t="s">
        <v>167</v>
      </c>
      <c r="M554" t="s">
        <v>167</v>
      </c>
      <c r="O554" t="s">
        <v>167</v>
      </c>
      <c r="Q554" t="s">
        <v>167</v>
      </c>
      <c r="S554" t="s">
        <v>167</v>
      </c>
      <c r="U554" t="s">
        <v>167</v>
      </c>
      <c r="W554" t="s">
        <v>167</v>
      </c>
      <c r="Y554" t="s">
        <v>167</v>
      </c>
    </row>
    <row r="555">
      <c r="G555" t="s">
        <v>167</v>
      </c>
      <c r="I555" t="s">
        <v>167</v>
      </c>
      <c r="K555" t="s">
        <v>167</v>
      </c>
      <c r="M555" t="s">
        <v>167</v>
      </c>
      <c r="O555" t="s">
        <v>167</v>
      </c>
      <c r="Q555" t="s">
        <v>167</v>
      </c>
      <c r="S555" t="s">
        <v>167</v>
      </c>
      <c r="U555" t="s">
        <v>167</v>
      </c>
      <c r="W555" t="s">
        <v>167</v>
      </c>
      <c r="Y555" t="s">
        <v>167</v>
      </c>
    </row>
    <row r="556">
      <c r="G556" t="s">
        <v>167</v>
      </c>
      <c r="I556" t="s">
        <v>167</v>
      </c>
      <c r="K556" t="s">
        <v>167</v>
      </c>
      <c r="M556" t="s">
        <v>167</v>
      </c>
      <c r="O556" t="s">
        <v>167</v>
      </c>
      <c r="Q556" t="s">
        <v>167</v>
      </c>
      <c r="S556" t="s">
        <v>167</v>
      </c>
      <c r="U556" t="s">
        <v>167</v>
      </c>
      <c r="W556" t="s">
        <v>167</v>
      </c>
      <c r="Y556" t="s">
        <v>167</v>
      </c>
    </row>
    <row r="557">
      <c r="G557" t="s">
        <v>167</v>
      </c>
      <c r="I557" t="s">
        <v>167</v>
      </c>
      <c r="K557" t="s">
        <v>167</v>
      </c>
      <c r="M557" t="s">
        <v>167</v>
      </c>
      <c r="O557" t="s">
        <v>167</v>
      </c>
      <c r="Q557" t="s">
        <v>167</v>
      </c>
      <c r="S557" t="s">
        <v>167</v>
      </c>
      <c r="U557" t="s">
        <v>167</v>
      </c>
      <c r="W557" t="s">
        <v>167</v>
      </c>
      <c r="Y557" t="s">
        <v>167</v>
      </c>
    </row>
    <row r="558">
      <c r="G558" t="s">
        <v>167</v>
      </c>
      <c r="I558" t="s">
        <v>167</v>
      </c>
      <c r="K558" t="s">
        <v>167</v>
      </c>
      <c r="M558" t="s">
        <v>167</v>
      </c>
      <c r="O558" t="s">
        <v>167</v>
      </c>
      <c r="Q558" t="s">
        <v>167</v>
      </c>
      <c r="S558" t="s">
        <v>167</v>
      </c>
      <c r="U558" t="s">
        <v>167</v>
      </c>
      <c r="W558" t="s">
        <v>167</v>
      </c>
      <c r="Y558" t="s">
        <v>167</v>
      </c>
    </row>
    <row r="559">
      <c r="G559" t="s">
        <v>167</v>
      </c>
      <c r="I559" t="s">
        <v>167</v>
      </c>
      <c r="K559" t="s">
        <v>167</v>
      </c>
      <c r="M559" t="s">
        <v>167</v>
      </c>
      <c r="O559" t="s">
        <v>167</v>
      </c>
      <c r="Q559" t="s">
        <v>167</v>
      </c>
      <c r="S559" t="s">
        <v>167</v>
      </c>
      <c r="U559" t="s">
        <v>167</v>
      </c>
      <c r="W559" t="s">
        <v>167</v>
      </c>
      <c r="Y559" t="s">
        <v>167</v>
      </c>
    </row>
    <row r="560">
      <c r="G560" t="s">
        <v>167</v>
      </c>
      <c r="I560" t="s">
        <v>167</v>
      </c>
      <c r="K560" t="s">
        <v>167</v>
      </c>
      <c r="M560" t="s">
        <v>167</v>
      </c>
      <c r="O560" t="s">
        <v>167</v>
      </c>
      <c r="Q560" t="s">
        <v>167</v>
      </c>
      <c r="S560" t="s">
        <v>167</v>
      </c>
      <c r="U560" t="s">
        <v>167</v>
      </c>
      <c r="W560" t="s">
        <v>167</v>
      </c>
      <c r="Y560" t="s">
        <v>167</v>
      </c>
    </row>
    <row r="561">
      <c r="G561" t="s">
        <v>167</v>
      </c>
      <c r="I561" t="s">
        <v>167</v>
      </c>
      <c r="K561" t="s">
        <v>167</v>
      </c>
      <c r="M561" t="s">
        <v>167</v>
      </c>
      <c r="O561" t="s">
        <v>167</v>
      </c>
      <c r="Q561" t="s">
        <v>167</v>
      </c>
      <c r="S561" t="s">
        <v>167</v>
      </c>
      <c r="U561" t="s">
        <v>167</v>
      </c>
      <c r="W561" t="s">
        <v>167</v>
      </c>
      <c r="Y561" t="s">
        <v>167</v>
      </c>
    </row>
    <row r="562">
      <c r="G562" t="s">
        <v>167</v>
      </c>
      <c r="I562" t="s">
        <v>167</v>
      </c>
      <c r="K562" t="s">
        <v>167</v>
      </c>
      <c r="M562" t="s">
        <v>167</v>
      </c>
      <c r="O562" t="s">
        <v>167</v>
      </c>
      <c r="Q562" t="s">
        <v>167</v>
      </c>
      <c r="S562" t="s">
        <v>167</v>
      </c>
      <c r="U562" t="s">
        <v>167</v>
      </c>
      <c r="W562" t="s">
        <v>167</v>
      </c>
      <c r="Y562" t="s">
        <v>167</v>
      </c>
    </row>
    <row r="563">
      <c r="G563" t="s">
        <v>167</v>
      </c>
      <c r="I563" t="s">
        <v>167</v>
      </c>
      <c r="K563" t="s">
        <v>167</v>
      </c>
      <c r="M563" t="s">
        <v>167</v>
      </c>
      <c r="O563" t="s">
        <v>167</v>
      </c>
      <c r="Q563" t="s">
        <v>167</v>
      </c>
      <c r="S563" t="s">
        <v>167</v>
      </c>
      <c r="U563" t="s">
        <v>167</v>
      </c>
      <c r="W563" t="s">
        <v>167</v>
      </c>
      <c r="Y563" t="s">
        <v>167</v>
      </c>
    </row>
    <row r="564">
      <c r="G564" t="s">
        <v>167</v>
      </c>
      <c r="I564" t="s">
        <v>167</v>
      </c>
      <c r="K564" t="s">
        <v>167</v>
      </c>
      <c r="M564" t="s">
        <v>167</v>
      </c>
      <c r="O564" t="s">
        <v>167</v>
      </c>
      <c r="Q564" t="s">
        <v>167</v>
      </c>
      <c r="S564" t="s">
        <v>167</v>
      </c>
      <c r="U564" t="s">
        <v>167</v>
      </c>
      <c r="W564" t="s">
        <v>167</v>
      </c>
      <c r="Y564" t="s">
        <v>167</v>
      </c>
    </row>
    <row r="565">
      <c r="G565" t="s">
        <v>167</v>
      </c>
      <c r="I565" t="s">
        <v>167</v>
      </c>
      <c r="K565" t="s">
        <v>167</v>
      </c>
      <c r="M565" t="s">
        <v>167</v>
      </c>
      <c r="O565" t="s">
        <v>167</v>
      </c>
      <c r="Q565" t="s">
        <v>167</v>
      </c>
      <c r="S565" t="s">
        <v>167</v>
      </c>
      <c r="U565" t="s">
        <v>167</v>
      </c>
      <c r="W565" t="s">
        <v>167</v>
      </c>
      <c r="Y565" t="s">
        <v>167</v>
      </c>
    </row>
    <row r="566">
      <c r="G566" t="s">
        <v>167</v>
      </c>
      <c r="I566" t="s">
        <v>167</v>
      </c>
      <c r="K566" t="s">
        <v>167</v>
      </c>
      <c r="M566" t="s">
        <v>167</v>
      </c>
      <c r="O566" t="s">
        <v>167</v>
      </c>
      <c r="Q566" t="s">
        <v>167</v>
      </c>
      <c r="S566" t="s">
        <v>167</v>
      </c>
      <c r="U566" t="s">
        <v>167</v>
      </c>
      <c r="W566" t="s">
        <v>167</v>
      </c>
      <c r="Y566" t="s">
        <v>167</v>
      </c>
    </row>
    <row r="567">
      <c r="G567" t="s">
        <v>167</v>
      </c>
      <c r="I567" t="s">
        <v>167</v>
      </c>
      <c r="K567" t="s">
        <v>167</v>
      </c>
      <c r="M567" t="s">
        <v>167</v>
      </c>
      <c r="O567" t="s">
        <v>167</v>
      </c>
      <c r="Q567" t="s">
        <v>167</v>
      </c>
      <c r="S567" t="s">
        <v>167</v>
      </c>
      <c r="U567" t="s">
        <v>167</v>
      </c>
      <c r="W567" t="s">
        <v>167</v>
      </c>
      <c r="Y567" t="s">
        <v>167</v>
      </c>
    </row>
    <row r="568">
      <c r="G568" t="s">
        <v>167</v>
      </c>
      <c r="I568" t="s">
        <v>167</v>
      </c>
      <c r="K568" t="s">
        <v>167</v>
      </c>
      <c r="M568" t="s">
        <v>167</v>
      </c>
      <c r="O568" t="s">
        <v>167</v>
      </c>
      <c r="Q568" t="s">
        <v>167</v>
      </c>
      <c r="S568" t="s">
        <v>167</v>
      </c>
      <c r="U568" t="s">
        <v>167</v>
      </c>
      <c r="W568" t="s">
        <v>167</v>
      </c>
      <c r="Y568" t="s">
        <v>167</v>
      </c>
    </row>
    <row r="569">
      <c r="G569" t="s">
        <v>167</v>
      </c>
      <c r="I569" t="s">
        <v>167</v>
      </c>
      <c r="K569" t="s">
        <v>167</v>
      </c>
      <c r="M569" t="s">
        <v>167</v>
      </c>
      <c r="O569" t="s">
        <v>167</v>
      </c>
      <c r="Q569" t="s">
        <v>167</v>
      </c>
      <c r="S569" t="s">
        <v>167</v>
      </c>
      <c r="U569" t="s">
        <v>167</v>
      </c>
      <c r="W569" t="s">
        <v>167</v>
      </c>
      <c r="Y569" t="s">
        <v>167</v>
      </c>
    </row>
    <row r="570">
      <c r="G570" t="s">
        <v>167</v>
      </c>
      <c r="I570" t="s">
        <v>167</v>
      </c>
      <c r="K570" t="s">
        <v>167</v>
      </c>
      <c r="M570" t="s">
        <v>167</v>
      </c>
      <c r="O570" t="s">
        <v>167</v>
      </c>
      <c r="Q570" t="s">
        <v>167</v>
      </c>
      <c r="S570" t="s">
        <v>167</v>
      </c>
      <c r="U570" t="s">
        <v>167</v>
      </c>
      <c r="W570" t="s">
        <v>167</v>
      </c>
      <c r="Y570" t="s">
        <v>167</v>
      </c>
    </row>
    <row r="571">
      <c r="G571" t="s">
        <v>167</v>
      </c>
      <c r="I571" t="s">
        <v>167</v>
      </c>
      <c r="K571" t="s">
        <v>167</v>
      </c>
      <c r="M571" t="s">
        <v>167</v>
      </c>
      <c r="O571" t="s">
        <v>167</v>
      </c>
      <c r="Q571" t="s">
        <v>167</v>
      </c>
      <c r="S571" t="s">
        <v>167</v>
      </c>
      <c r="U571" t="s">
        <v>167</v>
      </c>
      <c r="W571" t="s">
        <v>167</v>
      </c>
      <c r="Y571" t="s">
        <v>167</v>
      </c>
    </row>
    <row r="572">
      <c r="G572" t="s">
        <v>167</v>
      </c>
      <c r="I572" t="s">
        <v>167</v>
      </c>
      <c r="K572" t="s">
        <v>167</v>
      </c>
      <c r="M572" t="s">
        <v>167</v>
      </c>
      <c r="O572" t="s">
        <v>167</v>
      </c>
      <c r="Q572" t="s">
        <v>167</v>
      </c>
      <c r="S572" t="s">
        <v>167</v>
      </c>
      <c r="U572" t="s">
        <v>167</v>
      </c>
      <c r="W572" t="s">
        <v>167</v>
      </c>
      <c r="Y572" t="s">
        <v>167</v>
      </c>
    </row>
    <row r="573">
      <c r="G573" t="s">
        <v>167</v>
      </c>
      <c r="I573" t="s">
        <v>167</v>
      </c>
      <c r="K573" t="s">
        <v>167</v>
      </c>
      <c r="M573" t="s">
        <v>167</v>
      </c>
      <c r="O573" t="s">
        <v>167</v>
      </c>
      <c r="Q573" t="s">
        <v>167</v>
      </c>
      <c r="S573" t="s">
        <v>167</v>
      </c>
      <c r="U573" t="s">
        <v>167</v>
      </c>
      <c r="W573" t="s">
        <v>167</v>
      </c>
      <c r="Y573" t="s">
        <v>167</v>
      </c>
    </row>
    <row r="574">
      <c r="G574" t="s">
        <v>167</v>
      </c>
      <c r="I574" t="s">
        <v>167</v>
      </c>
      <c r="K574" t="s">
        <v>167</v>
      </c>
      <c r="M574" t="s">
        <v>167</v>
      </c>
      <c r="O574" t="s">
        <v>167</v>
      </c>
      <c r="Q574" t="s">
        <v>167</v>
      </c>
      <c r="S574" t="s">
        <v>167</v>
      </c>
      <c r="U574" t="s">
        <v>167</v>
      </c>
      <c r="W574" t="s">
        <v>167</v>
      </c>
      <c r="Y574" t="s">
        <v>167</v>
      </c>
    </row>
    <row r="575">
      <c r="G575" t="s">
        <v>167</v>
      </c>
      <c r="I575" t="s">
        <v>167</v>
      </c>
      <c r="K575" t="s">
        <v>167</v>
      </c>
      <c r="M575" t="s">
        <v>167</v>
      </c>
      <c r="O575" t="s">
        <v>167</v>
      </c>
      <c r="Q575" t="s">
        <v>167</v>
      </c>
      <c r="S575" t="s">
        <v>167</v>
      </c>
      <c r="U575" t="s">
        <v>167</v>
      </c>
      <c r="W575" t="s">
        <v>167</v>
      </c>
      <c r="Y575" t="s">
        <v>167</v>
      </c>
    </row>
    <row r="576">
      <c r="G576" t="s">
        <v>167</v>
      </c>
      <c r="I576" t="s">
        <v>167</v>
      </c>
      <c r="K576" t="s">
        <v>167</v>
      </c>
      <c r="M576" t="s">
        <v>167</v>
      </c>
      <c r="O576" t="s">
        <v>167</v>
      </c>
      <c r="Q576" t="s">
        <v>167</v>
      </c>
      <c r="S576" t="s">
        <v>167</v>
      </c>
      <c r="U576" t="s">
        <v>167</v>
      </c>
      <c r="W576" t="s">
        <v>167</v>
      </c>
      <c r="Y576" t="s">
        <v>167</v>
      </c>
    </row>
    <row r="577">
      <c r="G577" t="s">
        <v>167</v>
      </c>
      <c r="I577" t="s">
        <v>167</v>
      </c>
      <c r="K577" t="s">
        <v>167</v>
      </c>
      <c r="M577" t="s">
        <v>167</v>
      </c>
      <c r="O577" t="s">
        <v>167</v>
      </c>
      <c r="Q577" t="s">
        <v>167</v>
      </c>
      <c r="S577" t="s">
        <v>167</v>
      </c>
      <c r="U577" t="s">
        <v>167</v>
      </c>
      <c r="W577" t="s">
        <v>167</v>
      </c>
      <c r="Y577" t="s">
        <v>167</v>
      </c>
    </row>
    <row r="578">
      <c r="G578" t="s">
        <v>167</v>
      </c>
      <c r="I578" t="s">
        <v>167</v>
      </c>
      <c r="K578" t="s">
        <v>167</v>
      </c>
      <c r="M578" t="s">
        <v>167</v>
      </c>
      <c r="O578" t="s">
        <v>167</v>
      </c>
      <c r="Q578" t="s">
        <v>167</v>
      </c>
      <c r="S578" t="s">
        <v>167</v>
      </c>
      <c r="U578" t="s">
        <v>167</v>
      </c>
      <c r="W578" t="s">
        <v>167</v>
      </c>
      <c r="Y578" t="s">
        <v>167</v>
      </c>
    </row>
    <row r="579">
      <c r="G579" t="s">
        <v>167</v>
      </c>
      <c r="I579" t="s">
        <v>167</v>
      </c>
      <c r="K579" t="s">
        <v>167</v>
      </c>
      <c r="M579" t="s">
        <v>167</v>
      </c>
      <c r="O579" t="s">
        <v>167</v>
      </c>
      <c r="Q579" t="s">
        <v>167</v>
      </c>
      <c r="S579" t="s">
        <v>167</v>
      </c>
      <c r="U579" t="s">
        <v>167</v>
      </c>
      <c r="W579" t="s">
        <v>167</v>
      </c>
      <c r="Y579" t="s">
        <v>167</v>
      </c>
    </row>
    <row r="580">
      <c r="G580" t="s">
        <v>167</v>
      </c>
      <c r="I580" t="s">
        <v>167</v>
      </c>
      <c r="K580" t="s">
        <v>167</v>
      </c>
      <c r="M580" t="s">
        <v>167</v>
      </c>
      <c r="O580" t="s">
        <v>167</v>
      </c>
      <c r="Q580" t="s">
        <v>167</v>
      </c>
      <c r="S580" t="s">
        <v>167</v>
      </c>
      <c r="U580" t="s">
        <v>167</v>
      </c>
      <c r="W580" t="s">
        <v>167</v>
      </c>
      <c r="Y580" t="s">
        <v>167</v>
      </c>
    </row>
    <row r="581">
      <c r="G581" t="s">
        <v>167</v>
      </c>
      <c r="I581" t="s">
        <v>167</v>
      </c>
      <c r="K581" t="s">
        <v>167</v>
      </c>
      <c r="M581" t="s">
        <v>167</v>
      </c>
      <c r="O581" t="s">
        <v>167</v>
      </c>
      <c r="Q581" t="s">
        <v>167</v>
      </c>
      <c r="S581" t="s">
        <v>167</v>
      </c>
      <c r="U581" t="s">
        <v>167</v>
      </c>
      <c r="W581" t="s">
        <v>167</v>
      </c>
      <c r="Y581" t="s">
        <v>167</v>
      </c>
    </row>
    <row r="582">
      <c r="G582" t="s">
        <v>167</v>
      </c>
      <c r="I582" t="s">
        <v>167</v>
      </c>
      <c r="K582" t="s">
        <v>167</v>
      </c>
      <c r="M582" t="s">
        <v>167</v>
      </c>
      <c r="O582" t="s">
        <v>167</v>
      </c>
      <c r="Q582" t="s">
        <v>167</v>
      </c>
      <c r="S582" t="s">
        <v>167</v>
      </c>
      <c r="U582" t="s">
        <v>167</v>
      </c>
      <c r="W582" t="s">
        <v>167</v>
      </c>
      <c r="Y582" t="s">
        <v>167</v>
      </c>
    </row>
    <row r="583">
      <c r="G583" t="s">
        <v>167</v>
      </c>
      <c r="I583" t="s">
        <v>167</v>
      </c>
      <c r="K583" t="s">
        <v>167</v>
      </c>
      <c r="M583" t="s">
        <v>167</v>
      </c>
      <c r="O583" t="s">
        <v>167</v>
      </c>
      <c r="Q583" t="s">
        <v>167</v>
      </c>
      <c r="S583" t="s">
        <v>167</v>
      </c>
      <c r="U583" t="s">
        <v>167</v>
      </c>
      <c r="W583" t="s">
        <v>167</v>
      </c>
      <c r="Y583" t="s">
        <v>167</v>
      </c>
    </row>
    <row r="584">
      <c r="G584" t="s">
        <v>167</v>
      </c>
      <c r="I584" t="s">
        <v>167</v>
      </c>
      <c r="K584" t="s">
        <v>167</v>
      </c>
      <c r="M584" t="s">
        <v>167</v>
      </c>
      <c r="O584" t="s">
        <v>167</v>
      </c>
      <c r="Q584" t="s">
        <v>167</v>
      </c>
      <c r="S584" t="s">
        <v>167</v>
      </c>
      <c r="U584" t="s">
        <v>167</v>
      </c>
      <c r="W584" t="s">
        <v>167</v>
      </c>
      <c r="Y584" t="s">
        <v>167</v>
      </c>
    </row>
    <row r="585">
      <c r="G585" t="s">
        <v>167</v>
      </c>
      <c r="I585" t="s">
        <v>167</v>
      </c>
      <c r="K585" t="s">
        <v>167</v>
      </c>
      <c r="M585" t="s">
        <v>167</v>
      </c>
      <c r="O585" t="s">
        <v>167</v>
      </c>
      <c r="Q585" t="s">
        <v>167</v>
      </c>
      <c r="S585" t="s">
        <v>167</v>
      </c>
      <c r="U585" t="s">
        <v>167</v>
      </c>
      <c r="W585" t="s">
        <v>167</v>
      </c>
      <c r="Y585" t="s">
        <v>167</v>
      </c>
    </row>
    <row r="586">
      <c r="G586" t="s">
        <v>167</v>
      </c>
      <c r="I586" t="s">
        <v>167</v>
      </c>
      <c r="K586" t="s">
        <v>167</v>
      </c>
      <c r="M586" t="s">
        <v>167</v>
      </c>
      <c r="O586" t="s">
        <v>167</v>
      </c>
      <c r="Q586" t="s">
        <v>167</v>
      </c>
      <c r="S586" t="s">
        <v>167</v>
      </c>
      <c r="U586" t="s">
        <v>167</v>
      </c>
      <c r="W586" t="s">
        <v>167</v>
      </c>
      <c r="Y586" t="s">
        <v>167</v>
      </c>
    </row>
    <row r="587">
      <c r="G587" t="s">
        <v>167</v>
      </c>
      <c r="I587" t="s">
        <v>167</v>
      </c>
      <c r="K587" t="s">
        <v>167</v>
      </c>
      <c r="M587" t="s">
        <v>167</v>
      </c>
      <c r="O587" t="s">
        <v>167</v>
      </c>
      <c r="Q587" t="s">
        <v>167</v>
      </c>
      <c r="S587" t="s">
        <v>167</v>
      </c>
      <c r="U587" t="s">
        <v>167</v>
      </c>
      <c r="W587" t="s">
        <v>167</v>
      </c>
      <c r="Y587" t="s">
        <v>167</v>
      </c>
    </row>
    <row r="588">
      <c r="G588" t="s">
        <v>167</v>
      </c>
      <c r="I588" t="s">
        <v>167</v>
      </c>
      <c r="K588" t="s">
        <v>167</v>
      </c>
      <c r="M588" t="s">
        <v>167</v>
      </c>
      <c r="O588" t="s">
        <v>167</v>
      </c>
      <c r="Q588" t="s">
        <v>167</v>
      </c>
      <c r="S588" t="s">
        <v>167</v>
      </c>
      <c r="U588" t="s">
        <v>167</v>
      </c>
      <c r="W588" t="s">
        <v>167</v>
      </c>
      <c r="Y588" t="s">
        <v>167</v>
      </c>
    </row>
    <row r="589">
      <c r="G589" t="s">
        <v>167</v>
      </c>
      <c r="I589" t="s">
        <v>167</v>
      </c>
      <c r="K589" t="s">
        <v>167</v>
      </c>
      <c r="M589" t="s">
        <v>167</v>
      </c>
      <c r="O589" t="s">
        <v>167</v>
      </c>
      <c r="Q589" t="s">
        <v>167</v>
      </c>
      <c r="S589" t="s">
        <v>167</v>
      </c>
      <c r="U589" t="s">
        <v>167</v>
      </c>
      <c r="W589" t="s">
        <v>167</v>
      </c>
      <c r="Y589" t="s">
        <v>167</v>
      </c>
    </row>
    <row r="590">
      <c r="G590" t="s">
        <v>167</v>
      </c>
      <c r="I590" t="s">
        <v>167</v>
      </c>
      <c r="K590" t="s">
        <v>167</v>
      </c>
      <c r="M590" t="s">
        <v>167</v>
      </c>
      <c r="O590" t="s">
        <v>167</v>
      </c>
      <c r="Q590" t="s">
        <v>167</v>
      </c>
      <c r="S590" t="s">
        <v>167</v>
      </c>
      <c r="U590" t="s">
        <v>167</v>
      </c>
      <c r="W590" t="s">
        <v>167</v>
      </c>
      <c r="Y590" t="s">
        <v>167</v>
      </c>
    </row>
    <row r="591">
      <c r="G591" t="s">
        <v>167</v>
      </c>
      <c r="I591" t="s">
        <v>167</v>
      </c>
      <c r="K591" t="s">
        <v>167</v>
      </c>
      <c r="M591" t="s">
        <v>167</v>
      </c>
      <c r="O591" t="s">
        <v>167</v>
      </c>
      <c r="Q591" t="s">
        <v>167</v>
      </c>
      <c r="S591" t="s">
        <v>167</v>
      </c>
      <c r="U591" t="s">
        <v>167</v>
      </c>
      <c r="W591" t="s">
        <v>167</v>
      </c>
      <c r="Y591" t="s">
        <v>167</v>
      </c>
    </row>
    <row r="592">
      <c r="G592" t="s">
        <v>167</v>
      </c>
      <c r="I592" t="s">
        <v>167</v>
      </c>
      <c r="K592" t="s">
        <v>167</v>
      </c>
      <c r="M592" t="s">
        <v>167</v>
      </c>
      <c r="O592" t="s">
        <v>167</v>
      </c>
      <c r="Q592" t="s">
        <v>167</v>
      </c>
      <c r="S592" t="s">
        <v>167</v>
      </c>
      <c r="U592" t="s">
        <v>167</v>
      </c>
      <c r="W592" t="s">
        <v>167</v>
      </c>
      <c r="Y592" t="s">
        <v>167</v>
      </c>
    </row>
    <row r="593">
      <c r="G593" t="s">
        <v>167</v>
      </c>
      <c r="I593" t="s">
        <v>167</v>
      </c>
      <c r="K593" t="s">
        <v>167</v>
      </c>
      <c r="M593" t="s">
        <v>167</v>
      </c>
      <c r="O593" t="s">
        <v>167</v>
      </c>
      <c r="Q593" t="s">
        <v>167</v>
      </c>
      <c r="S593" t="s">
        <v>167</v>
      </c>
      <c r="U593" t="s">
        <v>167</v>
      </c>
      <c r="W593" t="s">
        <v>167</v>
      </c>
      <c r="Y593" t="s">
        <v>167</v>
      </c>
    </row>
    <row r="594">
      <c r="G594" t="s">
        <v>167</v>
      </c>
      <c r="I594" t="s">
        <v>167</v>
      </c>
      <c r="K594" t="s">
        <v>167</v>
      </c>
      <c r="M594" t="s">
        <v>167</v>
      </c>
      <c r="O594" t="s">
        <v>167</v>
      </c>
      <c r="Q594" t="s">
        <v>167</v>
      </c>
      <c r="S594" t="s">
        <v>167</v>
      </c>
      <c r="U594" t="s">
        <v>167</v>
      </c>
      <c r="W594" t="s">
        <v>167</v>
      </c>
      <c r="Y594" t="s">
        <v>167</v>
      </c>
    </row>
    <row r="595">
      <c r="G595" t="s">
        <v>167</v>
      </c>
      <c r="I595" t="s">
        <v>167</v>
      </c>
      <c r="K595" t="s">
        <v>167</v>
      </c>
      <c r="M595" t="s">
        <v>167</v>
      </c>
      <c r="O595" t="s">
        <v>167</v>
      </c>
      <c r="Q595" t="s">
        <v>167</v>
      </c>
      <c r="S595" t="s">
        <v>167</v>
      </c>
      <c r="U595" t="s">
        <v>167</v>
      </c>
      <c r="W595" t="s">
        <v>167</v>
      </c>
      <c r="Y595" t="s">
        <v>167</v>
      </c>
    </row>
    <row r="596">
      <c r="G596" t="s">
        <v>167</v>
      </c>
      <c r="I596" t="s">
        <v>167</v>
      </c>
      <c r="K596" t="s">
        <v>167</v>
      </c>
      <c r="M596" t="s">
        <v>167</v>
      </c>
      <c r="O596" t="s">
        <v>167</v>
      </c>
      <c r="Q596" t="s">
        <v>167</v>
      </c>
      <c r="S596" t="s">
        <v>167</v>
      </c>
      <c r="U596" t="s">
        <v>167</v>
      </c>
      <c r="W596" t="s">
        <v>167</v>
      </c>
      <c r="Y596" t="s">
        <v>167</v>
      </c>
    </row>
    <row r="597">
      <c r="G597" t="s">
        <v>167</v>
      </c>
      <c r="I597" t="s">
        <v>167</v>
      </c>
      <c r="K597" t="s">
        <v>167</v>
      </c>
      <c r="M597" t="s">
        <v>167</v>
      </c>
      <c r="O597" t="s">
        <v>167</v>
      </c>
      <c r="Q597" t="s">
        <v>167</v>
      </c>
      <c r="S597" t="s">
        <v>167</v>
      </c>
      <c r="U597" t="s">
        <v>167</v>
      </c>
      <c r="W597" t="s">
        <v>167</v>
      </c>
      <c r="Y597" t="s">
        <v>167</v>
      </c>
    </row>
    <row r="598">
      <c r="G598" t="s">
        <v>167</v>
      </c>
      <c r="I598" t="s">
        <v>167</v>
      </c>
      <c r="K598" t="s">
        <v>167</v>
      </c>
      <c r="M598" t="s">
        <v>167</v>
      </c>
      <c r="O598" t="s">
        <v>167</v>
      </c>
      <c r="Q598" t="s">
        <v>167</v>
      </c>
      <c r="S598" t="s">
        <v>167</v>
      </c>
      <c r="U598" t="s">
        <v>167</v>
      </c>
      <c r="W598" t="s">
        <v>167</v>
      </c>
      <c r="Y598" t="s">
        <v>167</v>
      </c>
    </row>
    <row r="599">
      <c r="G599" t="s">
        <v>167</v>
      </c>
      <c r="I599" t="s">
        <v>167</v>
      </c>
      <c r="K599" t="s">
        <v>167</v>
      </c>
      <c r="M599" t="s">
        <v>167</v>
      </c>
      <c r="O599" t="s">
        <v>167</v>
      </c>
      <c r="Q599" t="s">
        <v>167</v>
      </c>
      <c r="S599" t="s">
        <v>167</v>
      </c>
      <c r="U599" t="s">
        <v>167</v>
      </c>
      <c r="W599" t="s">
        <v>167</v>
      </c>
      <c r="Y599" t="s">
        <v>167</v>
      </c>
    </row>
    <row r="600">
      <c r="G600" t="s">
        <v>167</v>
      </c>
      <c r="I600" t="s">
        <v>167</v>
      </c>
      <c r="K600" t="s">
        <v>167</v>
      </c>
      <c r="M600" t="s">
        <v>167</v>
      </c>
      <c r="O600" t="s">
        <v>167</v>
      </c>
      <c r="Q600" t="s">
        <v>167</v>
      </c>
      <c r="S600" t="s">
        <v>167</v>
      </c>
      <c r="U600" t="s">
        <v>167</v>
      </c>
      <c r="W600" t="s">
        <v>167</v>
      </c>
      <c r="Y600" t="s">
        <v>167</v>
      </c>
    </row>
    <row r="601">
      <c r="G601" t="s">
        <v>167</v>
      </c>
      <c r="I601" t="s">
        <v>167</v>
      </c>
      <c r="K601" t="s">
        <v>167</v>
      </c>
      <c r="M601" t="s">
        <v>167</v>
      </c>
      <c r="O601" t="s">
        <v>167</v>
      </c>
      <c r="Q601" t="s">
        <v>167</v>
      </c>
      <c r="S601" t="s">
        <v>167</v>
      </c>
      <c r="U601" t="s">
        <v>167</v>
      </c>
      <c r="W601" t="s">
        <v>167</v>
      </c>
      <c r="Y601" t="s">
        <v>167</v>
      </c>
    </row>
    <row r="602">
      <c r="G602" t="s">
        <v>167</v>
      </c>
      <c r="I602" t="s">
        <v>167</v>
      </c>
      <c r="K602" t="s">
        <v>167</v>
      </c>
      <c r="M602" t="s">
        <v>167</v>
      </c>
      <c r="O602" t="s">
        <v>167</v>
      </c>
      <c r="Q602" t="s">
        <v>167</v>
      </c>
      <c r="S602" t="s">
        <v>167</v>
      </c>
      <c r="U602" t="s">
        <v>167</v>
      </c>
      <c r="W602" t="s">
        <v>167</v>
      </c>
      <c r="Y602" t="s">
        <v>167</v>
      </c>
    </row>
    <row r="603">
      <c r="G603" t="s">
        <v>167</v>
      </c>
      <c r="I603" t="s">
        <v>167</v>
      </c>
      <c r="K603" t="s">
        <v>167</v>
      </c>
      <c r="M603" t="s">
        <v>167</v>
      </c>
      <c r="O603" t="s">
        <v>167</v>
      </c>
      <c r="Q603" t="s">
        <v>167</v>
      </c>
      <c r="S603" t="s">
        <v>167</v>
      </c>
      <c r="U603" t="s">
        <v>167</v>
      </c>
      <c r="W603" t="s">
        <v>167</v>
      </c>
      <c r="Y603" t="s">
        <v>167</v>
      </c>
    </row>
    <row r="604">
      <c r="G604" t="s">
        <v>167</v>
      </c>
      <c r="I604" t="s">
        <v>167</v>
      </c>
      <c r="K604" t="s">
        <v>167</v>
      </c>
      <c r="M604" t="s">
        <v>167</v>
      </c>
      <c r="O604" t="s">
        <v>167</v>
      </c>
      <c r="Q604" t="s">
        <v>167</v>
      </c>
      <c r="S604" t="s">
        <v>167</v>
      </c>
      <c r="U604" t="s">
        <v>167</v>
      </c>
      <c r="W604" t="s">
        <v>167</v>
      </c>
      <c r="Y604" t="s">
        <v>167</v>
      </c>
    </row>
    <row r="605">
      <c r="G605" t="s">
        <v>167</v>
      </c>
      <c r="I605" t="s">
        <v>167</v>
      </c>
      <c r="K605" t="s">
        <v>167</v>
      </c>
      <c r="M605" t="s">
        <v>167</v>
      </c>
      <c r="O605" t="s">
        <v>167</v>
      </c>
      <c r="Q605" t="s">
        <v>167</v>
      </c>
      <c r="S605" t="s">
        <v>167</v>
      </c>
      <c r="U605" t="s">
        <v>167</v>
      </c>
      <c r="W605" t="s">
        <v>167</v>
      </c>
      <c r="Y605" t="s">
        <v>167</v>
      </c>
    </row>
    <row r="606">
      <c r="G606" t="s">
        <v>167</v>
      </c>
      <c r="I606" t="s">
        <v>167</v>
      </c>
      <c r="K606" t="s">
        <v>167</v>
      </c>
      <c r="M606" t="s">
        <v>167</v>
      </c>
      <c r="O606" t="s">
        <v>167</v>
      </c>
      <c r="Q606" t="s">
        <v>167</v>
      </c>
      <c r="S606" t="s">
        <v>167</v>
      </c>
      <c r="U606" t="s">
        <v>167</v>
      </c>
      <c r="W606" t="s">
        <v>167</v>
      </c>
      <c r="Y606" t="s">
        <v>167</v>
      </c>
    </row>
    <row r="607">
      <c r="G607" t="s">
        <v>167</v>
      </c>
      <c r="I607" t="s">
        <v>167</v>
      </c>
      <c r="K607" t="s">
        <v>167</v>
      </c>
      <c r="M607" t="s">
        <v>167</v>
      </c>
      <c r="O607" t="s">
        <v>167</v>
      </c>
      <c r="Q607" t="s">
        <v>167</v>
      </c>
      <c r="S607" t="s">
        <v>167</v>
      </c>
      <c r="U607" t="s">
        <v>167</v>
      </c>
      <c r="W607" t="s">
        <v>167</v>
      </c>
      <c r="Y607" t="s">
        <v>167</v>
      </c>
    </row>
    <row r="608">
      <c r="G608" t="s">
        <v>167</v>
      </c>
      <c r="I608" t="s">
        <v>167</v>
      </c>
      <c r="K608" t="s">
        <v>167</v>
      </c>
      <c r="M608" t="s">
        <v>167</v>
      </c>
      <c r="O608" t="s">
        <v>167</v>
      </c>
      <c r="Q608" t="s">
        <v>167</v>
      </c>
      <c r="S608" t="s">
        <v>167</v>
      </c>
      <c r="U608" t="s">
        <v>167</v>
      </c>
      <c r="W608" t="s">
        <v>167</v>
      </c>
      <c r="Y608" t="s">
        <v>167</v>
      </c>
    </row>
    <row r="609">
      <c r="G609" t="s">
        <v>167</v>
      </c>
      <c r="I609" t="s">
        <v>167</v>
      </c>
      <c r="K609" t="s">
        <v>167</v>
      </c>
      <c r="M609" t="s">
        <v>167</v>
      </c>
      <c r="O609" t="s">
        <v>167</v>
      </c>
      <c r="Q609" t="s">
        <v>167</v>
      </c>
      <c r="S609" t="s">
        <v>167</v>
      </c>
      <c r="U609" t="s">
        <v>167</v>
      </c>
      <c r="W609" t="s">
        <v>167</v>
      </c>
      <c r="Y609" t="s">
        <v>167</v>
      </c>
    </row>
    <row r="610">
      <c r="G610" t="s">
        <v>167</v>
      </c>
      <c r="I610" t="s">
        <v>167</v>
      </c>
      <c r="K610" t="s">
        <v>167</v>
      </c>
      <c r="M610" t="s">
        <v>167</v>
      </c>
      <c r="O610" t="s">
        <v>167</v>
      </c>
      <c r="Q610" t="s">
        <v>167</v>
      </c>
      <c r="S610" t="s">
        <v>167</v>
      </c>
      <c r="U610" t="s">
        <v>167</v>
      </c>
      <c r="W610" t="s">
        <v>167</v>
      </c>
      <c r="Y610" t="s">
        <v>167</v>
      </c>
    </row>
    <row r="611">
      <c r="G611" t="s">
        <v>167</v>
      </c>
      <c r="I611" t="s">
        <v>167</v>
      </c>
      <c r="K611" t="s">
        <v>167</v>
      </c>
      <c r="M611" t="s">
        <v>167</v>
      </c>
      <c r="O611" t="s">
        <v>167</v>
      </c>
      <c r="Q611" t="s">
        <v>167</v>
      </c>
      <c r="S611" t="s">
        <v>167</v>
      </c>
      <c r="U611" t="s">
        <v>167</v>
      </c>
      <c r="W611" t="s">
        <v>167</v>
      </c>
      <c r="Y611" t="s">
        <v>167</v>
      </c>
    </row>
    <row r="612">
      <c r="G612" t="s">
        <v>167</v>
      </c>
      <c r="I612" t="s">
        <v>167</v>
      </c>
      <c r="K612" t="s">
        <v>167</v>
      </c>
      <c r="M612" t="s">
        <v>167</v>
      </c>
      <c r="O612" t="s">
        <v>167</v>
      </c>
      <c r="Q612" t="s">
        <v>167</v>
      </c>
      <c r="S612" t="s">
        <v>167</v>
      </c>
      <c r="U612" t="s">
        <v>167</v>
      </c>
      <c r="W612" t="s">
        <v>167</v>
      </c>
      <c r="Y612" t="s">
        <v>167</v>
      </c>
    </row>
    <row r="613">
      <c r="G613" t="s">
        <v>167</v>
      </c>
      <c r="I613" t="s">
        <v>167</v>
      </c>
      <c r="K613" t="s">
        <v>167</v>
      </c>
      <c r="M613" t="s">
        <v>167</v>
      </c>
      <c r="O613" t="s">
        <v>167</v>
      </c>
      <c r="Q613" t="s">
        <v>167</v>
      </c>
      <c r="S613" t="s">
        <v>167</v>
      </c>
      <c r="U613" t="s">
        <v>167</v>
      </c>
      <c r="W613" t="s">
        <v>167</v>
      </c>
      <c r="Y613" t="s">
        <v>167</v>
      </c>
    </row>
    <row r="614">
      <c r="G614" t="s">
        <v>167</v>
      </c>
      <c r="I614" t="s">
        <v>167</v>
      </c>
      <c r="K614" t="s">
        <v>167</v>
      </c>
      <c r="M614" t="s">
        <v>167</v>
      </c>
      <c r="O614" t="s">
        <v>167</v>
      </c>
      <c r="Q614" t="s">
        <v>167</v>
      </c>
      <c r="S614" t="s">
        <v>167</v>
      </c>
      <c r="U614" t="s">
        <v>167</v>
      </c>
      <c r="W614" t="s">
        <v>167</v>
      </c>
      <c r="Y614" t="s">
        <v>167</v>
      </c>
    </row>
    <row r="615">
      <c r="G615" t="s">
        <v>167</v>
      </c>
      <c r="I615" t="s">
        <v>167</v>
      </c>
      <c r="K615" t="s">
        <v>167</v>
      </c>
      <c r="M615" t="s">
        <v>167</v>
      </c>
      <c r="O615" t="s">
        <v>167</v>
      </c>
      <c r="Q615" t="s">
        <v>167</v>
      </c>
      <c r="S615" t="s">
        <v>167</v>
      </c>
      <c r="U615" t="s">
        <v>167</v>
      </c>
      <c r="W615" t="s">
        <v>167</v>
      </c>
      <c r="Y615" t="s">
        <v>167</v>
      </c>
    </row>
    <row r="616">
      <c r="G616" t="s">
        <v>167</v>
      </c>
      <c r="I616" t="s">
        <v>167</v>
      </c>
      <c r="K616" t="s">
        <v>167</v>
      </c>
      <c r="M616" t="s">
        <v>167</v>
      </c>
      <c r="O616" t="s">
        <v>167</v>
      </c>
      <c r="Q616" t="s">
        <v>167</v>
      </c>
      <c r="S616" t="s">
        <v>167</v>
      </c>
      <c r="U616" t="s">
        <v>167</v>
      </c>
      <c r="W616" t="s">
        <v>167</v>
      </c>
      <c r="Y616" t="s">
        <v>167</v>
      </c>
    </row>
    <row r="617">
      <c r="G617" t="s">
        <v>167</v>
      </c>
      <c r="I617" t="s">
        <v>167</v>
      </c>
      <c r="K617" t="s">
        <v>167</v>
      </c>
      <c r="M617" t="s">
        <v>167</v>
      </c>
      <c r="O617" t="s">
        <v>167</v>
      </c>
      <c r="Q617" t="s">
        <v>167</v>
      </c>
      <c r="S617" t="s">
        <v>167</v>
      </c>
      <c r="U617" t="s">
        <v>167</v>
      </c>
      <c r="W617" t="s">
        <v>167</v>
      </c>
      <c r="Y617" t="s">
        <v>167</v>
      </c>
    </row>
    <row r="618">
      <c r="G618" t="s">
        <v>167</v>
      </c>
      <c r="I618" t="s">
        <v>167</v>
      </c>
      <c r="K618" t="s">
        <v>167</v>
      </c>
      <c r="M618" t="s">
        <v>167</v>
      </c>
      <c r="O618" t="s">
        <v>167</v>
      </c>
      <c r="Q618" t="s">
        <v>167</v>
      </c>
      <c r="S618" t="s">
        <v>167</v>
      </c>
      <c r="U618" t="s">
        <v>167</v>
      </c>
      <c r="W618" t="s">
        <v>167</v>
      </c>
      <c r="Y618" t="s">
        <v>167</v>
      </c>
    </row>
    <row r="619">
      <c r="G619" t="s">
        <v>167</v>
      </c>
      <c r="I619" t="s">
        <v>167</v>
      </c>
      <c r="K619" t="s">
        <v>167</v>
      </c>
      <c r="M619" t="s">
        <v>167</v>
      </c>
      <c r="O619" t="s">
        <v>167</v>
      </c>
      <c r="Q619" t="s">
        <v>167</v>
      </c>
      <c r="S619" t="s">
        <v>167</v>
      </c>
      <c r="U619" t="s">
        <v>167</v>
      </c>
      <c r="W619" t="s">
        <v>167</v>
      </c>
      <c r="Y619" t="s">
        <v>167</v>
      </c>
    </row>
    <row r="620">
      <c r="G620" t="s">
        <v>167</v>
      </c>
      <c r="I620" t="s">
        <v>167</v>
      </c>
      <c r="K620" t="s">
        <v>167</v>
      </c>
      <c r="M620" t="s">
        <v>167</v>
      </c>
      <c r="O620" t="s">
        <v>167</v>
      </c>
      <c r="Q620" t="s">
        <v>167</v>
      </c>
      <c r="S620" t="s">
        <v>167</v>
      </c>
      <c r="U620" t="s">
        <v>167</v>
      </c>
      <c r="W620" t="s">
        <v>167</v>
      </c>
      <c r="Y620" t="s">
        <v>167</v>
      </c>
    </row>
    <row r="621">
      <c r="G621" t="s">
        <v>167</v>
      </c>
      <c r="I621" t="s">
        <v>167</v>
      </c>
      <c r="K621" t="s">
        <v>167</v>
      </c>
      <c r="M621" t="s">
        <v>167</v>
      </c>
      <c r="O621" t="s">
        <v>167</v>
      </c>
      <c r="Q621" t="s">
        <v>167</v>
      </c>
      <c r="S621" t="s">
        <v>167</v>
      </c>
      <c r="U621" t="s">
        <v>167</v>
      </c>
      <c r="W621" t="s">
        <v>167</v>
      </c>
      <c r="Y621" t="s">
        <v>167</v>
      </c>
    </row>
    <row r="622">
      <c r="G622" t="s">
        <v>167</v>
      </c>
      <c r="I622" t="s">
        <v>167</v>
      </c>
      <c r="K622" t="s">
        <v>167</v>
      </c>
      <c r="M622" t="s">
        <v>167</v>
      </c>
      <c r="O622" t="s">
        <v>167</v>
      </c>
      <c r="Q622" t="s">
        <v>167</v>
      </c>
      <c r="S622" t="s">
        <v>167</v>
      </c>
      <c r="U622" t="s">
        <v>167</v>
      </c>
      <c r="W622" t="s">
        <v>167</v>
      </c>
      <c r="Y622" t="s">
        <v>167</v>
      </c>
    </row>
    <row r="623">
      <c r="G623" t="s">
        <v>167</v>
      </c>
      <c r="I623" t="s">
        <v>167</v>
      </c>
      <c r="K623" t="s">
        <v>167</v>
      </c>
      <c r="M623" t="s">
        <v>167</v>
      </c>
      <c r="O623" t="s">
        <v>167</v>
      </c>
      <c r="Q623" t="s">
        <v>167</v>
      </c>
      <c r="S623" t="s">
        <v>167</v>
      </c>
      <c r="U623" t="s">
        <v>167</v>
      </c>
      <c r="W623" t="s">
        <v>167</v>
      </c>
      <c r="Y623" t="s">
        <v>167</v>
      </c>
    </row>
    <row r="624">
      <c r="G624" t="s">
        <v>167</v>
      </c>
      <c r="I624" t="s">
        <v>167</v>
      </c>
      <c r="K624" t="s">
        <v>167</v>
      </c>
      <c r="M624" t="s">
        <v>167</v>
      </c>
      <c r="O624" t="s">
        <v>167</v>
      </c>
      <c r="Q624" t="s">
        <v>167</v>
      </c>
      <c r="S624" t="s">
        <v>167</v>
      </c>
      <c r="U624" t="s">
        <v>167</v>
      </c>
      <c r="W624" t="s">
        <v>167</v>
      </c>
      <c r="Y624" t="s">
        <v>167</v>
      </c>
    </row>
    <row r="625">
      <c r="G625" t="s">
        <v>167</v>
      </c>
      <c r="I625" t="s">
        <v>167</v>
      </c>
      <c r="K625" t="s">
        <v>167</v>
      </c>
      <c r="M625" t="s">
        <v>167</v>
      </c>
      <c r="O625" t="s">
        <v>167</v>
      </c>
      <c r="Q625" t="s">
        <v>167</v>
      </c>
      <c r="S625" t="s">
        <v>167</v>
      </c>
      <c r="U625" t="s">
        <v>167</v>
      </c>
      <c r="W625" t="s">
        <v>167</v>
      </c>
      <c r="Y625" t="s">
        <v>167</v>
      </c>
    </row>
    <row r="626">
      <c r="G626" t="s">
        <v>167</v>
      </c>
      <c r="I626" t="s">
        <v>167</v>
      </c>
      <c r="K626" t="s">
        <v>167</v>
      </c>
      <c r="M626" t="s">
        <v>167</v>
      </c>
      <c r="O626" t="s">
        <v>167</v>
      </c>
      <c r="Q626" t="s">
        <v>167</v>
      </c>
      <c r="S626" t="s">
        <v>167</v>
      </c>
      <c r="U626" t="s">
        <v>167</v>
      </c>
      <c r="W626" t="s">
        <v>167</v>
      </c>
      <c r="Y626" t="s">
        <v>167</v>
      </c>
    </row>
    <row r="627">
      <c r="G627" t="s">
        <v>167</v>
      </c>
      <c r="I627" t="s">
        <v>167</v>
      </c>
      <c r="K627" t="s">
        <v>167</v>
      </c>
      <c r="M627" t="s">
        <v>167</v>
      </c>
      <c r="O627" t="s">
        <v>167</v>
      </c>
      <c r="Q627" t="s">
        <v>167</v>
      </c>
      <c r="S627" t="s">
        <v>167</v>
      </c>
      <c r="U627" t="s">
        <v>167</v>
      </c>
      <c r="W627" t="s">
        <v>167</v>
      </c>
      <c r="Y627" t="s">
        <v>167</v>
      </c>
    </row>
    <row r="628">
      <c r="G628" t="s">
        <v>167</v>
      </c>
      <c r="I628" t="s">
        <v>167</v>
      </c>
      <c r="K628" t="s">
        <v>167</v>
      </c>
      <c r="M628" t="s">
        <v>167</v>
      </c>
      <c r="O628" t="s">
        <v>167</v>
      </c>
      <c r="Q628" t="s">
        <v>167</v>
      </c>
      <c r="S628" t="s">
        <v>167</v>
      </c>
      <c r="U628" t="s">
        <v>167</v>
      </c>
      <c r="W628" t="s">
        <v>167</v>
      </c>
      <c r="Y628" t="s">
        <v>167</v>
      </c>
    </row>
    <row r="629">
      <c r="G629" t="s">
        <v>167</v>
      </c>
      <c r="I629" t="s">
        <v>167</v>
      </c>
      <c r="K629" t="s">
        <v>167</v>
      </c>
      <c r="M629" t="s">
        <v>167</v>
      </c>
      <c r="O629" t="s">
        <v>167</v>
      </c>
      <c r="Q629" t="s">
        <v>167</v>
      </c>
      <c r="S629" t="s">
        <v>167</v>
      </c>
      <c r="U629" t="s">
        <v>167</v>
      </c>
      <c r="W629" t="s">
        <v>167</v>
      </c>
      <c r="Y629" t="s">
        <v>167</v>
      </c>
    </row>
    <row r="630">
      <c r="G630" t="s">
        <v>167</v>
      </c>
      <c r="I630" t="s">
        <v>167</v>
      </c>
      <c r="K630" t="s">
        <v>167</v>
      </c>
      <c r="M630" t="s">
        <v>167</v>
      </c>
      <c r="O630" t="s">
        <v>167</v>
      </c>
      <c r="Q630" t="s">
        <v>167</v>
      </c>
      <c r="S630" t="s">
        <v>167</v>
      </c>
      <c r="U630" t="s">
        <v>167</v>
      </c>
      <c r="W630" t="s">
        <v>167</v>
      </c>
      <c r="Y630" t="s">
        <v>167</v>
      </c>
    </row>
    <row r="631">
      <c r="G631" t="s">
        <v>167</v>
      </c>
      <c r="I631" t="s">
        <v>167</v>
      </c>
      <c r="K631" t="s">
        <v>167</v>
      </c>
      <c r="M631" t="s">
        <v>167</v>
      </c>
      <c r="O631" t="s">
        <v>167</v>
      </c>
      <c r="Q631" t="s">
        <v>167</v>
      </c>
      <c r="S631" t="s">
        <v>167</v>
      </c>
      <c r="U631" t="s">
        <v>167</v>
      </c>
      <c r="W631" t="s">
        <v>167</v>
      </c>
      <c r="Y631" t="s">
        <v>167</v>
      </c>
    </row>
    <row r="632">
      <c r="G632" t="s">
        <v>167</v>
      </c>
      <c r="I632" t="s">
        <v>167</v>
      </c>
      <c r="K632" t="s">
        <v>167</v>
      </c>
      <c r="M632" t="s">
        <v>167</v>
      </c>
      <c r="O632" t="s">
        <v>167</v>
      </c>
      <c r="Q632" t="s">
        <v>167</v>
      </c>
      <c r="S632" t="s">
        <v>167</v>
      </c>
      <c r="U632" t="s">
        <v>167</v>
      </c>
      <c r="W632" t="s">
        <v>167</v>
      </c>
      <c r="Y632" t="s">
        <v>167</v>
      </c>
    </row>
    <row r="633">
      <c r="G633" t="s">
        <v>167</v>
      </c>
      <c r="I633" t="s">
        <v>167</v>
      </c>
      <c r="K633" t="s">
        <v>167</v>
      </c>
      <c r="M633" t="s">
        <v>167</v>
      </c>
      <c r="O633" t="s">
        <v>167</v>
      </c>
      <c r="Q633" t="s">
        <v>167</v>
      </c>
      <c r="S633" t="s">
        <v>167</v>
      </c>
      <c r="U633" t="s">
        <v>167</v>
      </c>
      <c r="W633" t="s">
        <v>167</v>
      </c>
      <c r="Y633" t="s">
        <v>167</v>
      </c>
    </row>
    <row r="634">
      <c r="G634" t="s">
        <v>167</v>
      </c>
      <c r="I634" t="s">
        <v>167</v>
      </c>
      <c r="K634" t="s">
        <v>167</v>
      </c>
      <c r="M634" t="s">
        <v>167</v>
      </c>
      <c r="O634" t="s">
        <v>167</v>
      </c>
      <c r="Q634" t="s">
        <v>167</v>
      </c>
      <c r="S634" t="s">
        <v>167</v>
      </c>
      <c r="U634" t="s">
        <v>167</v>
      </c>
      <c r="W634" t="s">
        <v>167</v>
      </c>
      <c r="Y634" t="s">
        <v>167</v>
      </c>
    </row>
    <row r="635">
      <c r="G635" t="s">
        <v>167</v>
      </c>
      <c r="I635" t="s">
        <v>167</v>
      </c>
      <c r="K635" t="s">
        <v>167</v>
      </c>
      <c r="M635" t="s">
        <v>167</v>
      </c>
      <c r="O635" t="s">
        <v>167</v>
      </c>
      <c r="Q635" t="s">
        <v>167</v>
      </c>
      <c r="S635" t="s">
        <v>167</v>
      </c>
      <c r="U635" t="s">
        <v>167</v>
      </c>
      <c r="W635" t="s">
        <v>167</v>
      </c>
      <c r="Y635" t="s">
        <v>167</v>
      </c>
    </row>
    <row r="636">
      <c r="G636" t="s">
        <v>167</v>
      </c>
      <c r="I636" t="s">
        <v>167</v>
      </c>
      <c r="K636" t="s">
        <v>167</v>
      </c>
      <c r="M636" t="s">
        <v>167</v>
      </c>
      <c r="O636" t="s">
        <v>167</v>
      </c>
      <c r="Q636" t="s">
        <v>167</v>
      </c>
      <c r="S636" t="s">
        <v>167</v>
      </c>
      <c r="U636" t="s">
        <v>167</v>
      </c>
      <c r="W636" t="s">
        <v>167</v>
      </c>
      <c r="Y636" t="s">
        <v>167</v>
      </c>
    </row>
    <row r="637">
      <c r="G637" t="s">
        <v>167</v>
      </c>
      <c r="I637" t="s">
        <v>167</v>
      </c>
      <c r="K637" t="s">
        <v>167</v>
      </c>
      <c r="M637" t="s">
        <v>167</v>
      </c>
      <c r="O637" t="s">
        <v>167</v>
      </c>
      <c r="Q637" t="s">
        <v>167</v>
      </c>
      <c r="S637" t="s">
        <v>167</v>
      </c>
      <c r="U637" t="s">
        <v>167</v>
      </c>
      <c r="W637" t="s">
        <v>167</v>
      </c>
      <c r="Y637" t="s">
        <v>167</v>
      </c>
    </row>
    <row r="638">
      <c r="G638" t="s">
        <v>167</v>
      </c>
      <c r="I638" t="s">
        <v>167</v>
      </c>
      <c r="K638" t="s">
        <v>167</v>
      </c>
      <c r="M638" t="s">
        <v>167</v>
      </c>
      <c r="O638" t="s">
        <v>167</v>
      </c>
      <c r="Q638" t="s">
        <v>167</v>
      </c>
      <c r="S638" t="s">
        <v>167</v>
      </c>
      <c r="U638" t="s">
        <v>167</v>
      </c>
      <c r="W638" t="s">
        <v>167</v>
      </c>
      <c r="Y638" t="s">
        <v>167</v>
      </c>
    </row>
    <row r="639">
      <c r="G639" t="s">
        <v>167</v>
      </c>
      <c r="I639" t="s">
        <v>167</v>
      </c>
      <c r="K639" t="s">
        <v>167</v>
      </c>
      <c r="M639" t="s">
        <v>167</v>
      </c>
      <c r="O639" t="s">
        <v>167</v>
      </c>
      <c r="Q639" t="s">
        <v>167</v>
      </c>
      <c r="S639" t="s">
        <v>167</v>
      </c>
      <c r="U639" t="s">
        <v>167</v>
      </c>
      <c r="W639" t="s">
        <v>167</v>
      </c>
      <c r="Y639" t="s">
        <v>167</v>
      </c>
    </row>
    <row r="640">
      <c r="G640" t="s">
        <v>167</v>
      </c>
      <c r="I640" t="s">
        <v>167</v>
      </c>
      <c r="K640" t="s">
        <v>167</v>
      </c>
      <c r="M640" t="s">
        <v>167</v>
      </c>
      <c r="O640" t="s">
        <v>167</v>
      </c>
      <c r="Q640" t="s">
        <v>167</v>
      </c>
      <c r="S640" t="s">
        <v>167</v>
      </c>
      <c r="U640" t="s">
        <v>167</v>
      </c>
      <c r="W640" t="s">
        <v>167</v>
      </c>
      <c r="Y640" t="s">
        <v>167</v>
      </c>
    </row>
    <row r="641">
      <c r="G641" t="s">
        <v>167</v>
      </c>
      <c r="I641" t="s">
        <v>167</v>
      </c>
      <c r="K641" t="s">
        <v>167</v>
      </c>
      <c r="M641" t="s">
        <v>167</v>
      </c>
      <c r="O641" t="s">
        <v>167</v>
      </c>
      <c r="Q641" t="s">
        <v>167</v>
      </c>
      <c r="S641" t="s">
        <v>167</v>
      </c>
      <c r="U641" t="s">
        <v>167</v>
      </c>
      <c r="W641" t="s">
        <v>167</v>
      </c>
      <c r="Y641" t="s">
        <v>167</v>
      </c>
    </row>
    <row r="642">
      <c r="G642" t="s">
        <v>167</v>
      </c>
      <c r="I642" t="s">
        <v>167</v>
      </c>
      <c r="K642" t="s">
        <v>167</v>
      </c>
      <c r="M642" t="s">
        <v>167</v>
      </c>
      <c r="O642" t="s">
        <v>167</v>
      </c>
      <c r="Q642" t="s">
        <v>167</v>
      </c>
      <c r="S642" t="s">
        <v>167</v>
      </c>
      <c r="U642" t="s">
        <v>167</v>
      </c>
      <c r="W642" t="s">
        <v>167</v>
      </c>
      <c r="Y642" t="s">
        <v>167</v>
      </c>
    </row>
    <row r="643">
      <c r="G643" t="s">
        <v>167</v>
      </c>
      <c r="I643" t="s">
        <v>167</v>
      </c>
      <c r="K643" t="s">
        <v>167</v>
      </c>
      <c r="M643" t="s">
        <v>167</v>
      </c>
      <c r="O643" t="s">
        <v>167</v>
      </c>
      <c r="Q643" t="s">
        <v>167</v>
      </c>
      <c r="S643" t="s">
        <v>167</v>
      </c>
      <c r="U643" t="s">
        <v>167</v>
      </c>
      <c r="W643" t="s">
        <v>167</v>
      </c>
      <c r="Y643" t="s">
        <v>167</v>
      </c>
    </row>
    <row r="644">
      <c r="G644" t="s">
        <v>167</v>
      </c>
      <c r="I644" t="s">
        <v>167</v>
      </c>
      <c r="K644" t="s">
        <v>167</v>
      </c>
      <c r="M644" t="s">
        <v>167</v>
      </c>
      <c r="O644" t="s">
        <v>167</v>
      </c>
      <c r="Q644" t="s">
        <v>167</v>
      </c>
      <c r="S644" t="s">
        <v>167</v>
      </c>
      <c r="U644" t="s">
        <v>167</v>
      </c>
      <c r="W644" t="s">
        <v>167</v>
      </c>
      <c r="Y644" t="s">
        <v>167</v>
      </c>
    </row>
    <row r="645">
      <c r="G645" t="s">
        <v>167</v>
      </c>
      <c r="I645" t="s">
        <v>167</v>
      </c>
      <c r="K645" t="s">
        <v>167</v>
      </c>
      <c r="M645" t="s">
        <v>167</v>
      </c>
      <c r="O645" t="s">
        <v>167</v>
      </c>
      <c r="Q645" t="s">
        <v>167</v>
      </c>
      <c r="S645" t="s">
        <v>167</v>
      </c>
      <c r="U645" t="s">
        <v>167</v>
      </c>
      <c r="W645" t="s">
        <v>167</v>
      </c>
      <c r="Y645" t="s">
        <v>167</v>
      </c>
    </row>
    <row r="646">
      <c r="G646" t="s">
        <v>167</v>
      </c>
      <c r="I646" t="s">
        <v>167</v>
      </c>
      <c r="K646" t="s">
        <v>167</v>
      </c>
      <c r="M646" t="s">
        <v>167</v>
      </c>
      <c r="O646" t="s">
        <v>167</v>
      </c>
      <c r="Q646" t="s">
        <v>167</v>
      </c>
      <c r="S646" t="s">
        <v>167</v>
      </c>
      <c r="U646" t="s">
        <v>167</v>
      </c>
      <c r="W646" t="s">
        <v>167</v>
      </c>
      <c r="Y646" t="s">
        <v>167</v>
      </c>
    </row>
    <row r="647">
      <c r="G647" t="s">
        <v>167</v>
      </c>
      <c r="I647" t="s">
        <v>167</v>
      </c>
      <c r="K647" t="s">
        <v>167</v>
      </c>
      <c r="M647" t="s">
        <v>167</v>
      </c>
      <c r="O647" t="s">
        <v>167</v>
      </c>
      <c r="Q647" t="s">
        <v>167</v>
      </c>
      <c r="S647" t="s">
        <v>167</v>
      </c>
      <c r="U647" t="s">
        <v>167</v>
      </c>
      <c r="W647" t="s">
        <v>167</v>
      </c>
      <c r="Y647" t="s">
        <v>167</v>
      </c>
    </row>
    <row r="648">
      <c r="G648" t="s">
        <v>167</v>
      </c>
      <c r="I648" t="s">
        <v>167</v>
      </c>
      <c r="K648" t="s">
        <v>167</v>
      </c>
      <c r="M648" t="s">
        <v>167</v>
      </c>
      <c r="O648" t="s">
        <v>167</v>
      </c>
      <c r="Q648" t="s">
        <v>167</v>
      </c>
      <c r="S648" t="s">
        <v>167</v>
      </c>
      <c r="U648" t="s">
        <v>167</v>
      </c>
      <c r="W648" t="s">
        <v>167</v>
      </c>
      <c r="Y648" t="s">
        <v>167</v>
      </c>
    </row>
    <row r="649">
      <c r="G649" t="s">
        <v>167</v>
      </c>
      <c r="I649" t="s">
        <v>167</v>
      </c>
      <c r="K649" t="s">
        <v>167</v>
      </c>
      <c r="M649" t="s">
        <v>167</v>
      </c>
      <c r="O649" t="s">
        <v>167</v>
      </c>
      <c r="Q649" t="s">
        <v>167</v>
      </c>
      <c r="S649" t="s">
        <v>167</v>
      </c>
      <c r="U649" t="s">
        <v>167</v>
      </c>
      <c r="W649" t="s">
        <v>167</v>
      </c>
      <c r="Y649" t="s">
        <v>167</v>
      </c>
    </row>
    <row r="650">
      <c r="G650" t="s">
        <v>167</v>
      </c>
      <c r="I650" t="s">
        <v>167</v>
      </c>
      <c r="K650" t="s">
        <v>167</v>
      </c>
      <c r="M650" t="s">
        <v>167</v>
      </c>
      <c r="O650" t="s">
        <v>167</v>
      </c>
      <c r="Q650" t="s">
        <v>167</v>
      </c>
      <c r="S650" t="s">
        <v>167</v>
      </c>
      <c r="U650" t="s">
        <v>167</v>
      </c>
      <c r="W650" t="s">
        <v>167</v>
      </c>
      <c r="Y650" t="s">
        <v>167</v>
      </c>
    </row>
    <row r="651">
      <c r="G651" t="s">
        <v>167</v>
      </c>
      <c r="I651" t="s">
        <v>167</v>
      </c>
      <c r="K651" t="s">
        <v>167</v>
      </c>
      <c r="M651" t="s">
        <v>167</v>
      </c>
      <c r="O651" t="s">
        <v>167</v>
      </c>
      <c r="Q651" t="s">
        <v>167</v>
      </c>
      <c r="S651" t="s">
        <v>167</v>
      </c>
      <c r="U651" t="s">
        <v>167</v>
      </c>
      <c r="W651" t="s">
        <v>167</v>
      </c>
      <c r="Y651" t="s">
        <v>167</v>
      </c>
    </row>
    <row r="652">
      <c r="G652" t="s">
        <v>167</v>
      </c>
      <c r="I652" t="s">
        <v>167</v>
      </c>
      <c r="K652" t="s">
        <v>167</v>
      </c>
      <c r="M652" t="s">
        <v>167</v>
      </c>
      <c r="O652" t="s">
        <v>167</v>
      </c>
      <c r="Q652" t="s">
        <v>167</v>
      </c>
      <c r="S652" t="s">
        <v>167</v>
      </c>
      <c r="U652" t="s">
        <v>167</v>
      </c>
      <c r="W652" t="s">
        <v>167</v>
      </c>
      <c r="Y652" t="s">
        <v>167</v>
      </c>
    </row>
    <row r="653">
      <c r="G653" t="s">
        <v>167</v>
      </c>
      <c r="I653" t="s">
        <v>167</v>
      </c>
      <c r="K653" t="s">
        <v>167</v>
      </c>
      <c r="M653" t="s">
        <v>167</v>
      </c>
      <c r="O653" t="s">
        <v>167</v>
      </c>
      <c r="Q653" t="s">
        <v>167</v>
      </c>
      <c r="S653" t="s">
        <v>167</v>
      </c>
      <c r="U653" t="s">
        <v>167</v>
      </c>
      <c r="W653" t="s">
        <v>167</v>
      </c>
      <c r="Y653" t="s">
        <v>167</v>
      </c>
    </row>
    <row r="654">
      <c r="G654" t="s">
        <v>167</v>
      </c>
      <c r="I654" t="s">
        <v>167</v>
      </c>
      <c r="K654" t="s">
        <v>167</v>
      </c>
      <c r="M654" t="s">
        <v>167</v>
      </c>
      <c r="O654" t="s">
        <v>167</v>
      </c>
      <c r="Q654" t="s">
        <v>167</v>
      </c>
      <c r="S654" t="s">
        <v>167</v>
      </c>
      <c r="U654" t="s">
        <v>167</v>
      </c>
      <c r="W654" t="s">
        <v>167</v>
      </c>
      <c r="Y654" t="s">
        <v>167</v>
      </c>
    </row>
    <row r="655">
      <c r="G655" t="s">
        <v>167</v>
      </c>
      <c r="I655" t="s">
        <v>167</v>
      </c>
      <c r="K655" t="s">
        <v>167</v>
      </c>
      <c r="M655" t="s">
        <v>167</v>
      </c>
      <c r="O655" t="s">
        <v>167</v>
      </c>
      <c r="Q655" t="s">
        <v>167</v>
      </c>
      <c r="S655" t="s">
        <v>167</v>
      </c>
      <c r="U655" t="s">
        <v>167</v>
      </c>
      <c r="W655" t="s">
        <v>167</v>
      </c>
      <c r="Y655" t="s">
        <v>167</v>
      </c>
    </row>
    <row r="656">
      <c r="G656" t="s">
        <v>167</v>
      </c>
      <c r="I656" t="s">
        <v>167</v>
      </c>
      <c r="K656" t="s">
        <v>167</v>
      </c>
      <c r="M656" t="s">
        <v>167</v>
      </c>
      <c r="O656" t="s">
        <v>167</v>
      </c>
      <c r="Q656" t="s">
        <v>167</v>
      </c>
      <c r="S656" t="s">
        <v>167</v>
      </c>
      <c r="U656" t="s">
        <v>167</v>
      </c>
      <c r="W656" t="s">
        <v>167</v>
      </c>
      <c r="Y656" t="s">
        <v>167</v>
      </c>
    </row>
    <row r="657">
      <c r="G657" t="s">
        <v>167</v>
      </c>
      <c r="I657" t="s">
        <v>167</v>
      </c>
      <c r="K657" t="s">
        <v>167</v>
      </c>
      <c r="M657" t="s">
        <v>167</v>
      </c>
      <c r="O657" t="s">
        <v>167</v>
      </c>
      <c r="Q657" t="s">
        <v>167</v>
      </c>
      <c r="S657" t="s">
        <v>167</v>
      </c>
      <c r="U657" t="s">
        <v>167</v>
      </c>
      <c r="W657" t="s">
        <v>167</v>
      </c>
      <c r="Y657" t="s">
        <v>167</v>
      </c>
    </row>
    <row r="658">
      <c r="G658" t="s">
        <v>167</v>
      </c>
      <c r="I658" t="s">
        <v>167</v>
      </c>
      <c r="K658" t="s">
        <v>167</v>
      </c>
      <c r="M658" t="s">
        <v>167</v>
      </c>
      <c r="O658" t="s">
        <v>167</v>
      </c>
      <c r="Q658" t="s">
        <v>167</v>
      </c>
      <c r="S658" t="s">
        <v>167</v>
      </c>
      <c r="U658" t="s">
        <v>167</v>
      </c>
      <c r="W658" t="s">
        <v>167</v>
      </c>
      <c r="Y658" t="s">
        <v>167</v>
      </c>
    </row>
    <row r="659">
      <c r="G659" t="s">
        <v>167</v>
      </c>
      <c r="I659" t="s">
        <v>167</v>
      </c>
      <c r="K659" t="s">
        <v>167</v>
      </c>
      <c r="M659" t="s">
        <v>167</v>
      </c>
      <c r="O659" t="s">
        <v>167</v>
      </c>
      <c r="Q659" t="s">
        <v>167</v>
      </c>
      <c r="S659" t="s">
        <v>167</v>
      </c>
      <c r="U659" t="s">
        <v>167</v>
      </c>
      <c r="W659" t="s">
        <v>167</v>
      </c>
      <c r="Y659" t="s">
        <v>167</v>
      </c>
    </row>
    <row r="660">
      <c r="G660" t="s">
        <v>167</v>
      </c>
      <c r="I660" t="s">
        <v>167</v>
      </c>
      <c r="K660" t="s">
        <v>167</v>
      </c>
      <c r="M660" t="s">
        <v>167</v>
      </c>
      <c r="O660" t="s">
        <v>167</v>
      </c>
      <c r="Q660" t="s">
        <v>167</v>
      </c>
      <c r="S660" t="s">
        <v>167</v>
      </c>
      <c r="U660" t="s">
        <v>167</v>
      </c>
      <c r="W660" t="s">
        <v>167</v>
      </c>
      <c r="Y660" t="s">
        <v>167</v>
      </c>
    </row>
    <row r="661">
      <c r="G661" t="s">
        <v>167</v>
      </c>
      <c r="I661" t="s">
        <v>167</v>
      </c>
      <c r="K661" t="s">
        <v>167</v>
      </c>
      <c r="M661" t="s">
        <v>167</v>
      </c>
      <c r="O661" t="s">
        <v>167</v>
      </c>
      <c r="Q661" t="s">
        <v>167</v>
      </c>
      <c r="S661" t="s">
        <v>167</v>
      </c>
      <c r="U661" t="s">
        <v>167</v>
      </c>
      <c r="W661" t="s">
        <v>167</v>
      </c>
      <c r="Y661" t="s">
        <v>167</v>
      </c>
    </row>
    <row r="662">
      <c r="G662" t="s">
        <v>167</v>
      </c>
      <c r="I662" t="s">
        <v>167</v>
      </c>
      <c r="K662" t="s">
        <v>167</v>
      </c>
      <c r="M662" t="s">
        <v>167</v>
      </c>
      <c r="O662" t="s">
        <v>167</v>
      </c>
      <c r="Q662" t="s">
        <v>167</v>
      </c>
      <c r="S662" t="s">
        <v>167</v>
      </c>
      <c r="U662" t="s">
        <v>167</v>
      </c>
      <c r="W662" t="s">
        <v>167</v>
      </c>
      <c r="Y662" t="s">
        <v>167</v>
      </c>
    </row>
    <row r="663">
      <c r="G663" t="s">
        <v>167</v>
      </c>
      <c r="I663" t="s">
        <v>167</v>
      </c>
      <c r="K663" t="s">
        <v>167</v>
      </c>
      <c r="M663" t="s">
        <v>167</v>
      </c>
      <c r="O663" t="s">
        <v>167</v>
      </c>
      <c r="Q663" t="s">
        <v>167</v>
      </c>
      <c r="S663" t="s">
        <v>167</v>
      </c>
      <c r="U663" t="s">
        <v>167</v>
      </c>
      <c r="W663" t="s">
        <v>167</v>
      </c>
      <c r="Y663" t="s">
        <v>167</v>
      </c>
    </row>
    <row r="664">
      <c r="G664" t="s">
        <v>167</v>
      </c>
      <c r="I664" t="s">
        <v>167</v>
      </c>
      <c r="K664" t="s">
        <v>167</v>
      </c>
      <c r="M664" t="s">
        <v>167</v>
      </c>
      <c r="O664" t="s">
        <v>167</v>
      </c>
      <c r="Q664" t="s">
        <v>167</v>
      </c>
      <c r="S664" t="s">
        <v>167</v>
      </c>
      <c r="U664" t="s">
        <v>167</v>
      </c>
      <c r="W664" t="s">
        <v>167</v>
      </c>
      <c r="Y664" t="s">
        <v>167</v>
      </c>
    </row>
    <row r="665">
      <c r="G665" t="s">
        <v>167</v>
      </c>
      <c r="I665" t="s">
        <v>167</v>
      </c>
      <c r="K665" t="s">
        <v>167</v>
      </c>
      <c r="M665" t="s">
        <v>167</v>
      </c>
      <c r="O665" t="s">
        <v>167</v>
      </c>
      <c r="Q665" t="s">
        <v>167</v>
      </c>
      <c r="S665" t="s">
        <v>167</v>
      </c>
      <c r="U665" t="s">
        <v>167</v>
      </c>
      <c r="W665" t="s">
        <v>167</v>
      </c>
      <c r="Y665" t="s">
        <v>167</v>
      </c>
    </row>
    <row r="666">
      <c r="G666" t="s">
        <v>167</v>
      </c>
      <c r="I666" t="s">
        <v>167</v>
      </c>
      <c r="K666" t="s">
        <v>167</v>
      </c>
      <c r="M666" t="s">
        <v>167</v>
      </c>
      <c r="O666" t="s">
        <v>167</v>
      </c>
      <c r="Q666" t="s">
        <v>167</v>
      </c>
      <c r="S666" t="s">
        <v>167</v>
      </c>
      <c r="U666" t="s">
        <v>167</v>
      </c>
      <c r="W666" t="s">
        <v>167</v>
      </c>
      <c r="Y666" t="s">
        <v>167</v>
      </c>
    </row>
    <row r="667">
      <c r="G667" t="s">
        <v>167</v>
      </c>
      <c r="I667" t="s">
        <v>167</v>
      </c>
      <c r="K667" t="s">
        <v>167</v>
      </c>
      <c r="M667" t="s">
        <v>167</v>
      </c>
      <c r="O667" t="s">
        <v>167</v>
      </c>
      <c r="Q667" t="s">
        <v>167</v>
      </c>
      <c r="S667" t="s">
        <v>167</v>
      </c>
      <c r="U667" t="s">
        <v>167</v>
      </c>
      <c r="W667" t="s">
        <v>167</v>
      </c>
      <c r="Y667" t="s">
        <v>167</v>
      </c>
    </row>
    <row r="668">
      <c r="G668" t="s">
        <v>167</v>
      </c>
      <c r="I668" t="s">
        <v>167</v>
      </c>
      <c r="K668" t="s">
        <v>167</v>
      </c>
      <c r="M668" t="s">
        <v>167</v>
      </c>
      <c r="O668" t="s">
        <v>167</v>
      </c>
      <c r="Q668" t="s">
        <v>167</v>
      </c>
      <c r="S668" t="s">
        <v>167</v>
      </c>
      <c r="U668" t="s">
        <v>167</v>
      </c>
      <c r="W668" t="s">
        <v>167</v>
      </c>
      <c r="Y668" t="s">
        <v>167</v>
      </c>
    </row>
    <row r="669">
      <c r="G669" t="s">
        <v>167</v>
      </c>
      <c r="I669" t="s">
        <v>167</v>
      </c>
      <c r="K669" t="s">
        <v>167</v>
      </c>
      <c r="M669" t="s">
        <v>167</v>
      </c>
      <c r="O669" t="s">
        <v>167</v>
      </c>
      <c r="Q669" t="s">
        <v>167</v>
      </c>
      <c r="S669" t="s">
        <v>167</v>
      </c>
      <c r="U669" t="s">
        <v>167</v>
      </c>
      <c r="W669" t="s">
        <v>167</v>
      </c>
      <c r="Y669" t="s">
        <v>167</v>
      </c>
    </row>
    <row r="670">
      <c r="G670" t="s">
        <v>167</v>
      </c>
      <c r="I670" t="s">
        <v>167</v>
      </c>
      <c r="K670" t="s">
        <v>167</v>
      </c>
      <c r="M670" t="s">
        <v>167</v>
      </c>
      <c r="O670" t="s">
        <v>167</v>
      </c>
      <c r="Q670" t="s">
        <v>167</v>
      </c>
      <c r="S670" t="s">
        <v>167</v>
      </c>
      <c r="U670" t="s">
        <v>167</v>
      </c>
      <c r="W670" t="s">
        <v>167</v>
      </c>
      <c r="Y670" t="s">
        <v>167</v>
      </c>
    </row>
    <row r="671">
      <c r="G671" t="s">
        <v>167</v>
      </c>
      <c r="I671" t="s">
        <v>167</v>
      </c>
      <c r="K671" t="s">
        <v>167</v>
      </c>
      <c r="M671" t="s">
        <v>167</v>
      </c>
      <c r="O671" t="s">
        <v>167</v>
      </c>
      <c r="Q671" t="s">
        <v>167</v>
      </c>
      <c r="S671" t="s">
        <v>167</v>
      </c>
      <c r="U671" t="s">
        <v>167</v>
      </c>
      <c r="W671" t="s">
        <v>167</v>
      </c>
      <c r="Y671" t="s">
        <v>167</v>
      </c>
    </row>
    <row r="672">
      <c r="G672" t="s">
        <v>167</v>
      </c>
      <c r="I672" t="s">
        <v>167</v>
      </c>
      <c r="K672" t="s">
        <v>167</v>
      </c>
      <c r="M672" t="s">
        <v>167</v>
      </c>
      <c r="O672" t="s">
        <v>167</v>
      </c>
      <c r="Q672" t="s">
        <v>167</v>
      </c>
      <c r="S672" t="s">
        <v>167</v>
      </c>
      <c r="U672" t="s">
        <v>167</v>
      </c>
      <c r="W672" t="s">
        <v>167</v>
      </c>
      <c r="Y672" t="s">
        <v>167</v>
      </c>
    </row>
    <row r="673">
      <c r="G673" t="s">
        <v>167</v>
      </c>
      <c r="I673" t="s">
        <v>167</v>
      </c>
      <c r="K673" t="s">
        <v>167</v>
      </c>
      <c r="M673" t="s">
        <v>167</v>
      </c>
      <c r="O673" t="s">
        <v>167</v>
      </c>
      <c r="Q673" t="s">
        <v>167</v>
      </c>
      <c r="S673" t="s">
        <v>167</v>
      </c>
      <c r="U673" t="s">
        <v>167</v>
      </c>
      <c r="W673" t="s">
        <v>167</v>
      </c>
      <c r="Y673" t="s">
        <v>167</v>
      </c>
    </row>
    <row r="674">
      <c r="G674" t="s">
        <v>167</v>
      </c>
      <c r="I674" t="s">
        <v>167</v>
      </c>
      <c r="K674" t="s">
        <v>167</v>
      </c>
      <c r="M674" t="s">
        <v>167</v>
      </c>
      <c r="O674" t="s">
        <v>167</v>
      </c>
      <c r="Q674" t="s">
        <v>167</v>
      </c>
      <c r="S674" t="s">
        <v>167</v>
      </c>
      <c r="U674" t="s">
        <v>167</v>
      </c>
      <c r="W674" t="s">
        <v>167</v>
      </c>
      <c r="Y674" t="s">
        <v>167</v>
      </c>
    </row>
    <row r="675">
      <c r="G675" t="s">
        <v>167</v>
      </c>
      <c r="I675" t="s">
        <v>167</v>
      </c>
      <c r="K675" t="s">
        <v>167</v>
      </c>
      <c r="M675" t="s">
        <v>167</v>
      </c>
      <c r="O675" t="s">
        <v>167</v>
      </c>
      <c r="Q675" t="s">
        <v>167</v>
      </c>
      <c r="S675" t="s">
        <v>167</v>
      </c>
      <c r="U675" t="s">
        <v>167</v>
      </c>
      <c r="W675" t="s">
        <v>167</v>
      </c>
      <c r="Y675" t="s">
        <v>167</v>
      </c>
    </row>
    <row r="676">
      <c r="G676" t="s">
        <v>167</v>
      </c>
      <c r="I676" t="s">
        <v>167</v>
      </c>
      <c r="K676" t="s">
        <v>167</v>
      </c>
      <c r="M676" t="s">
        <v>167</v>
      </c>
      <c r="O676" t="s">
        <v>167</v>
      </c>
      <c r="Q676" t="s">
        <v>167</v>
      </c>
      <c r="S676" t="s">
        <v>167</v>
      </c>
      <c r="U676" t="s">
        <v>167</v>
      </c>
      <c r="W676" t="s">
        <v>167</v>
      </c>
      <c r="Y676" t="s">
        <v>167</v>
      </c>
    </row>
    <row r="677">
      <c r="G677" t="s">
        <v>167</v>
      </c>
      <c r="I677" t="s">
        <v>167</v>
      </c>
      <c r="K677" t="s">
        <v>167</v>
      </c>
      <c r="M677" t="s">
        <v>167</v>
      </c>
      <c r="O677" t="s">
        <v>167</v>
      </c>
      <c r="Q677" t="s">
        <v>167</v>
      </c>
      <c r="S677" t="s">
        <v>167</v>
      </c>
      <c r="U677" t="s">
        <v>167</v>
      </c>
      <c r="W677" t="s">
        <v>167</v>
      </c>
      <c r="Y677" t="s">
        <v>167</v>
      </c>
    </row>
    <row r="678">
      <c r="G678" t="s">
        <v>167</v>
      </c>
      <c r="I678" t="s">
        <v>167</v>
      </c>
      <c r="K678" t="s">
        <v>167</v>
      </c>
      <c r="M678" t="s">
        <v>167</v>
      </c>
      <c r="O678" t="s">
        <v>167</v>
      </c>
      <c r="Q678" t="s">
        <v>167</v>
      </c>
      <c r="S678" t="s">
        <v>167</v>
      </c>
      <c r="U678" t="s">
        <v>167</v>
      </c>
      <c r="W678" t="s">
        <v>167</v>
      </c>
      <c r="Y678" t="s">
        <v>167</v>
      </c>
    </row>
    <row r="679">
      <c r="G679" t="s">
        <v>167</v>
      </c>
      <c r="I679" t="s">
        <v>167</v>
      </c>
      <c r="K679" t="s">
        <v>167</v>
      </c>
      <c r="M679" t="s">
        <v>167</v>
      </c>
      <c r="O679" t="s">
        <v>167</v>
      </c>
      <c r="Q679" t="s">
        <v>167</v>
      </c>
      <c r="S679" t="s">
        <v>167</v>
      </c>
      <c r="U679" t="s">
        <v>167</v>
      </c>
      <c r="W679" t="s">
        <v>167</v>
      </c>
      <c r="Y679" t="s">
        <v>167</v>
      </c>
    </row>
    <row r="680">
      <c r="G680" t="s">
        <v>167</v>
      </c>
      <c r="I680" t="s">
        <v>167</v>
      </c>
      <c r="K680" t="s">
        <v>167</v>
      </c>
      <c r="M680" t="s">
        <v>167</v>
      </c>
      <c r="O680" t="s">
        <v>167</v>
      </c>
      <c r="Q680" t="s">
        <v>167</v>
      </c>
      <c r="S680" t="s">
        <v>167</v>
      </c>
      <c r="U680" t="s">
        <v>167</v>
      </c>
      <c r="W680" t="s">
        <v>167</v>
      </c>
      <c r="Y680" t="s">
        <v>167</v>
      </c>
    </row>
    <row r="681">
      <c r="G681" t="s">
        <v>167</v>
      </c>
      <c r="I681" t="s">
        <v>167</v>
      </c>
      <c r="K681" t="s">
        <v>167</v>
      </c>
      <c r="M681" t="s">
        <v>167</v>
      </c>
      <c r="O681" t="s">
        <v>167</v>
      </c>
      <c r="Q681" t="s">
        <v>167</v>
      </c>
      <c r="S681" t="s">
        <v>167</v>
      </c>
      <c r="U681" t="s">
        <v>167</v>
      </c>
      <c r="W681" t="s">
        <v>167</v>
      </c>
      <c r="Y681" t="s">
        <v>167</v>
      </c>
    </row>
    <row r="682">
      <c r="G682" t="s">
        <v>167</v>
      </c>
      <c r="I682" t="s">
        <v>167</v>
      </c>
      <c r="K682" t="s">
        <v>167</v>
      </c>
      <c r="M682" t="s">
        <v>167</v>
      </c>
      <c r="O682" t="s">
        <v>167</v>
      </c>
      <c r="Q682" t="s">
        <v>167</v>
      </c>
      <c r="S682" t="s">
        <v>167</v>
      </c>
      <c r="U682" t="s">
        <v>167</v>
      </c>
      <c r="W682" t="s">
        <v>167</v>
      </c>
      <c r="Y682" t="s">
        <v>167</v>
      </c>
    </row>
    <row r="683">
      <c r="G683" t="s">
        <v>167</v>
      </c>
      <c r="I683" t="s">
        <v>167</v>
      </c>
      <c r="K683" t="s">
        <v>167</v>
      </c>
      <c r="M683" t="s">
        <v>167</v>
      </c>
      <c r="O683" t="s">
        <v>167</v>
      </c>
      <c r="Q683" t="s">
        <v>167</v>
      </c>
      <c r="S683" t="s">
        <v>167</v>
      </c>
      <c r="U683" t="s">
        <v>167</v>
      </c>
      <c r="W683" t="s">
        <v>167</v>
      </c>
      <c r="Y683" t="s">
        <v>167</v>
      </c>
    </row>
    <row r="684">
      <c r="G684" t="s">
        <v>167</v>
      </c>
      <c r="I684" t="s">
        <v>167</v>
      </c>
      <c r="K684" t="s">
        <v>167</v>
      </c>
      <c r="M684" t="s">
        <v>167</v>
      </c>
      <c r="O684" t="s">
        <v>167</v>
      </c>
      <c r="Q684" t="s">
        <v>167</v>
      </c>
      <c r="S684" t="s">
        <v>167</v>
      </c>
      <c r="U684" t="s">
        <v>167</v>
      </c>
      <c r="W684" t="s">
        <v>167</v>
      </c>
      <c r="Y684" t="s">
        <v>167</v>
      </c>
    </row>
    <row r="685">
      <c r="G685" t="s">
        <v>167</v>
      </c>
      <c r="I685" t="s">
        <v>167</v>
      </c>
      <c r="K685" t="s">
        <v>167</v>
      </c>
      <c r="M685" t="s">
        <v>167</v>
      </c>
      <c r="O685" t="s">
        <v>167</v>
      </c>
      <c r="Q685" t="s">
        <v>167</v>
      </c>
      <c r="S685" t="s">
        <v>167</v>
      </c>
      <c r="U685" t="s">
        <v>167</v>
      </c>
      <c r="W685" t="s">
        <v>167</v>
      </c>
      <c r="Y685" t="s">
        <v>167</v>
      </c>
    </row>
    <row r="686">
      <c r="G686" t="s">
        <v>167</v>
      </c>
      <c r="I686" t="s">
        <v>167</v>
      </c>
      <c r="K686" t="s">
        <v>167</v>
      </c>
      <c r="M686" t="s">
        <v>167</v>
      </c>
      <c r="O686" t="s">
        <v>167</v>
      </c>
      <c r="Q686" t="s">
        <v>167</v>
      </c>
      <c r="S686" t="s">
        <v>167</v>
      </c>
      <c r="U686" t="s">
        <v>167</v>
      </c>
      <c r="W686" t="s">
        <v>167</v>
      </c>
      <c r="Y686" t="s">
        <v>167</v>
      </c>
    </row>
    <row r="687">
      <c r="G687" t="s">
        <v>167</v>
      </c>
      <c r="I687" t="s">
        <v>167</v>
      </c>
      <c r="K687" t="s">
        <v>167</v>
      </c>
      <c r="M687" t="s">
        <v>167</v>
      </c>
      <c r="O687" t="s">
        <v>167</v>
      </c>
      <c r="Q687" t="s">
        <v>167</v>
      </c>
      <c r="S687" t="s">
        <v>167</v>
      </c>
      <c r="U687" t="s">
        <v>167</v>
      </c>
      <c r="W687" t="s">
        <v>167</v>
      </c>
      <c r="Y687" t="s">
        <v>167</v>
      </c>
    </row>
    <row r="688">
      <c r="G688" t="s">
        <v>167</v>
      </c>
      <c r="I688" t="s">
        <v>167</v>
      </c>
      <c r="K688" t="s">
        <v>167</v>
      </c>
      <c r="M688" t="s">
        <v>167</v>
      </c>
      <c r="O688" t="s">
        <v>167</v>
      </c>
      <c r="Q688" t="s">
        <v>167</v>
      </c>
      <c r="S688" t="s">
        <v>167</v>
      </c>
      <c r="U688" t="s">
        <v>167</v>
      </c>
      <c r="W688" t="s">
        <v>167</v>
      </c>
      <c r="Y688" t="s">
        <v>167</v>
      </c>
    </row>
    <row r="689">
      <c r="G689" t="s">
        <v>167</v>
      </c>
      <c r="I689" t="s">
        <v>167</v>
      </c>
      <c r="K689" t="s">
        <v>167</v>
      </c>
      <c r="M689" t="s">
        <v>167</v>
      </c>
      <c r="O689" t="s">
        <v>167</v>
      </c>
      <c r="Q689" t="s">
        <v>167</v>
      </c>
      <c r="S689" t="s">
        <v>167</v>
      </c>
      <c r="U689" t="s">
        <v>167</v>
      </c>
      <c r="W689" t="s">
        <v>167</v>
      </c>
      <c r="Y689" t="s">
        <v>167</v>
      </c>
    </row>
    <row r="690">
      <c r="G690" t="s">
        <v>167</v>
      </c>
      <c r="I690" t="s">
        <v>167</v>
      </c>
      <c r="K690" t="s">
        <v>167</v>
      </c>
      <c r="M690" t="s">
        <v>167</v>
      </c>
      <c r="O690" t="s">
        <v>167</v>
      </c>
      <c r="Q690" t="s">
        <v>167</v>
      </c>
      <c r="S690" t="s">
        <v>167</v>
      </c>
      <c r="U690" t="s">
        <v>167</v>
      </c>
      <c r="W690" t="s">
        <v>167</v>
      </c>
      <c r="Y690" t="s">
        <v>167</v>
      </c>
    </row>
    <row r="691">
      <c r="G691" t="s">
        <v>167</v>
      </c>
      <c r="I691" t="s">
        <v>167</v>
      </c>
      <c r="K691" t="s">
        <v>167</v>
      </c>
      <c r="M691" t="s">
        <v>167</v>
      </c>
      <c r="O691" t="s">
        <v>167</v>
      </c>
      <c r="Q691" t="s">
        <v>167</v>
      </c>
      <c r="S691" t="s">
        <v>167</v>
      </c>
      <c r="U691" t="s">
        <v>167</v>
      </c>
      <c r="W691" t="s">
        <v>167</v>
      </c>
      <c r="Y691" t="s">
        <v>167</v>
      </c>
    </row>
    <row r="692">
      <c r="G692" t="s">
        <v>167</v>
      </c>
      <c r="I692" t="s">
        <v>167</v>
      </c>
      <c r="K692" t="s">
        <v>167</v>
      </c>
      <c r="M692" t="s">
        <v>167</v>
      </c>
      <c r="O692" t="s">
        <v>167</v>
      </c>
      <c r="Q692" t="s">
        <v>167</v>
      </c>
      <c r="S692" t="s">
        <v>167</v>
      </c>
      <c r="U692" t="s">
        <v>167</v>
      </c>
      <c r="W692" t="s">
        <v>167</v>
      </c>
      <c r="Y692" t="s">
        <v>167</v>
      </c>
    </row>
    <row r="693">
      <c r="G693" t="s">
        <v>167</v>
      </c>
      <c r="I693" t="s">
        <v>167</v>
      </c>
      <c r="K693" t="s">
        <v>167</v>
      </c>
      <c r="M693" t="s">
        <v>167</v>
      </c>
      <c r="O693" t="s">
        <v>167</v>
      </c>
      <c r="Q693" t="s">
        <v>167</v>
      </c>
      <c r="S693" t="s">
        <v>167</v>
      </c>
      <c r="U693" t="s">
        <v>167</v>
      </c>
      <c r="W693" t="s">
        <v>167</v>
      </c>
      <c r="Y693" t="s">
        <v>167</v>
      </c>
    </row>
    <row r="694">
      <c r="G694" t="s">
        <v>167</v>
      </c>
      <c r="I694" t="s">
        <v>167</v>
      </c>
      <c r="K694" t="s">
        <v>167</v>
      </c>
      <c r="M694" t="s">
        <v>167</v>
      </c>
      <c r="O694" t="s">
        <v>167</v>
      </c>
      <c r="Q694" t="s">
        <v>167</v>
      </c>
      <c r="S694" t="s">
        <v>167</v>
      </c>
      <c r="U694" t="s">
        <v>167</v>
      </c>
      <c r="W694" t="s">
        <v>167</v>
      </c>
      <c r="Y694" t="s">
        <v>167</v>
      </c>
    </row>
    <row r="695">
      <c r="G695" t="s">
        <v>167</v>
      </c>
      <c r="I695" t="s">
        <v>167</v>
      </c>
      <c r="K695" t="s">
        <v>167</v>
      </c>
      <c r="M695" t="s">
        <v>167</v>
      </c>
      <c r="O695" t="s">
        <v>167</v>
      </c>
      <c r="Q695" t="s">
        <v>167</v>
      </c>
      <c r="S695" t="s">
        <v>167</v>
      </c>
      <c r="U695" t="s">
        <v>167</v>
      </c>
      <c r="W695" t="s">
        <v>167</v>
      </c>
      <c r="Y695" t="s">
        <v>167</v>
      </c>
    </row>
    <row r="696">
      <c r="G696" t="s">
        <v>167</v>
      </c>
      <c r="I696" t="s">
        <v>167</v>
      </c>
      <c r="K696" t="s">
        <v>167</v>
      </c>
      <c r="M696" t="s">
        <v>167</v>
      </c>
      <c r="O696" t="s">
        <v>167</v>
      </c>
      <c r="Q696" t="s">
        <v>167</v>
      </c>
      <c r="S696" t="s">
        <v>167</v>
      </c>
      <c r="U696" t="s">
        <v>167</v>
      </c>
      <c r="W696" t="s">
        <v>167</v>
      </c>
      <c r="Y696" t="s">
        <v>167</v>
      </c>
    </row>
    <row r="697">
      <c r="G697" t="s">
        <v>167</v>
      </c>
      <c r="I697" t="s">
        <v>167</v>
      </c>
      <c r="K697" t="s">
        <v>167</v>
      </c>
      <c r="M697" t="s">
        <v>167</v>
      </c>
      <c r="O697" t="s">
        <v>167</v>
      </c>
      <c r="Q697" t="s">
        <v>167</v>
      </c>
      <c r="S697" t="s">
        <v>167</v>
      </c>
      <c r="U697" t="s">
        <v>167</v>
      </c>
      <c r="W697" t="s">
        <v>167</v>
      </c>
      <c r="Y697" t="s">
        <v>167</v>
      </c>
    </row>
    <row r="698">
      <c r="G698" t="s">
        <v>167</v>
      </c>
      <c r="I698" t="s">
        <v>167</v>
      </c>
      <c r="K698" t="s">
        <v>167</v>
      </c>
      <c r="M698" t="s">
        <v>167</v>
      </c>
      <c r="O698" t="s">
        <v>167</v>
      </c>
      <c r="Q698" t="s">
        <v>167</v>
      </c>
      <c r="S698" t="s">
        <v>167</v>
      </c>
      <c r="U698" t="s">
        <v>167</v>
      </c>
      <c r="W698" t="s">
        <v>167</v>
      </c>
      <c r="Y698" t="s">
        <v>167</v>
      </c>
    </row>
    <row r="699">
      <c r="G699" t="s">
        <v>167</v>
      </c>
      <c r="I699" t="s">
        <v>167</v>
      </c>
      <c r="K699" t="s">
        <v>167</v>
      </c>
      <c r="M699" t="s">
        <v>167</v>
      </c>
      <c r="O699" t="s">
        <v>167</v>
      </c>
      <c r="Q699" t="s">
        <v>167</v>
      </c>
      <c r="S699" t="s">
        <v>167</v>
      </c>
      <c r="U699" t="s">
        <v>167</v>
      </c>
      <c r="W699" t="s">
        <v>167</v>
      </c>
      <c r="Y699" t="s">
        <v>167</v>
      </c>
    </row>
    <row r="700">
      <c r="G700" t="s">
        <v>167</v>
      </c>
      <c r="I700" t="s">
        <v>167</v>
      </c>
      <c r="K700" t="s">
        <v>167</v>
      </c>
      <c r="M700" t="s">
        <v>167</v>
      </c>
      <c r="O700" t="s">
        <v>167</v>
      </c>
      <c r="Q700" t="s">
        <v>167</v>
      </c>
      <c r="S700" t="s">
        <v>167</v>
      </c>
      <c r="U700" t="s">
        <v>167</v>
      </c>
      <c r="W700" t="s">
        <v>167</v>
      </c>
      <c r="Y700" t="s">
        <v>167</v>
      </c>
    </row>
    <row r="701">
      <c r="G701" t="s">
        <v>167</v>
      </c>
      <c r="I701" t="s">
        <v>167</v>
      </c>
      <c r="K701" t="s">
        <v>167</v>
      </c>
      <c r="M701" t="s">
        <v>167</v>
      </c>
      <c r="O701" t="s">
        <v>167</v>
      </c>
      <c r="Q701" t="s">
        <v>167</v>
      </c>
      <c r="S701" t="s">
        <v>167</v>
      </c>
      <c r="U701" t="s">
        <v>167</v>
      </c>
      <c r="W701" t="s">
        <v>167</v>
      </c>
      <c r="Y701" t="s">
        <v>167</v>
      </c>
    </row>
    <row r="702">
      <c r="G702" t="s">
        <v>167</v>
      </c>
      <c r="I702" t="s">
        <v>167</v>
      </c>
      <c r="K702" t="s">
        <v>167</v>
      </c>
      <c r="M702" t="s">
        <v>167</v>
      </c>
      <c r="O702" t="s">
        <v>167</v>
      </c>
      <c r="Q702" t="s">
        <v>167</v>
      </c>
      <c r="S702" t="s">
        <v>167</v>
      </c>
      <c r="U702" t="s">
        <v>167</v>
      </c>
      <c r="W702" t="s">
        <v>167</v>
      </c>
      <c r="Y702" t="s">
        <v>167</v>
      </c>
    </row>
    <row r="703">
      <c r="G703" t="s">
        <v>167</v>
      </c>
      <c r="I703" t="s">
        <v>167</v>
      </c>
      <c r="K703" t="s">
        <v>167</v>
      </c>
      <c r="M703" t="s">
        <v>167</v>
      </c>
      <c r="O703" t="s">
        <v>167</v>
      </c>
      <c r="Q703" t="s">
        <v>167</v>
      </c>
      <c r="S703" t="s">
        <v>167</v>
      </c>
      <c r="U703" t="s">
        <v>167</v>
      </c>
      <c r="W703" t="s">
        <v>167</v>
      </c>
      <c r="Y703" t="s">
        <v>167</v>
      </c>
    </row>
    <row r="704">
      <c r="G704" t="s">
        <v>167</v>
      </c>
      <c r="I704" t="s">
        <v>167</v>
      </c>
      <c r="K704" t="s">
        <v>167</v>
      </c>
      <c r="M704" t="s">
        <v>167</v>
      </c>
      <c r="O704" t="s">
        <v>167</v>
      </c>
      <c r="Q704" t="s">
        <v>167</v>
      </c>
      <c r="S704" t="s">
        <v>167</v>
      </c>
      <c r="U704" t="s">
        <v>167</v>
      </c>
      <c r="W704" t="s">
        <v>167</v>
      </c>
      <c r="Y704" t="s">
        <v>167</v>
      </c>
    </row>
    <row r="705">
      <c r="G705" t="s">
        <v>167</v>
      </c>
      <c r="I705" t="s">
        <v>167</v>
      </c>
      <c r="K705" t="s">
        <v>167</v>
      </c>
      <c r="M705" t="s">
        <v>167</v>
      </c>
      <c r="O705" t="s">
        <v>167</v>
      </c>
      <c r="Q705" t="s">
        <v>167</v>
      </c>
      <c r="S705" t="s">
        <v>167</v>
      </c>
      <c r="U705" t="s">
        <v>167</v>
      </c>
      <c r="W705" t="s">
        <v>167</v>
      </c>
      <c r="Y705" t="s">
        <v>167</v>
      </c>
    </row>
    <row r="706">
      <c r="G706" t="s">
        <v>167</v>
      </c>
      <c r="I706" t="s">
        <v>167</v>
      </c>
      <c r="K706" t="s">
        <v>167</v>
      </c>
      <c r="M706" t="s">
        <v>167</v>
      </c>
      <c r="O706" t="s">
        <v>167</v>
      </c>
      <c r="Q706" t="s">
        <v>167</v>
      </c>
      <c r="S706" t="s">
        <v>167</v>
      </c>
      <c r="U706" t="s">
        <v>167</v>
      </c>
      <c r="W706" t="s">
        <v>167</v>
      </c>
      <c r="Y706" t="s">
        <v>167</v>
      </c>
    </row>
    <row r="707">
      <c r="G707" t="s">
        <v>167</v>
      </c>
      <c r="I707" t="s">
        <v>167</v>
      </c>
      <c r="K707" t="s">
        <v>167</v>
      </c>
      <c r="M707" t="s">
        <v>167</v>
      </c>
      <c r="O707" t="s">
        <v>167</v>
      </c>
      <c r="Q707" t="s">
        <v>167</v>
      </c>
      <c r="S707" t="s">
        <v>167</v>
      </c>
      <c r="U707" t="s">
        <v>167</v>
      </c>
      <c r="W707" t="s">
        <v>167</v>
      </c>
      <c r="Y707" t="s">
        <v>167</v>
      </c>
    </row>
    <row r="708">
      <c r="G708" t="s">
        <v>167</v>
      </c>
      <c r="I708" t="s">
        <v>167</v>
      </c>
      <c r="K708" t="s">
        <v>167</v>
      </c>
      <c r="M708" t="s">
        <v>167</v>
      </c>
      <c r="O708" t="s">
        <v>167</v>
      </c>
      <c r="Q708" t="s">
        <v>167</v>
      </c>
      <c r="S708" t="s">
        <v>167</v>
      </c>
      <c r="U708" t="s">
        <v>167</v>
      </c>
      <c r="W708" t="s">
        <v>167</v>
      </c>
      <c r="Y708" t="s">
        <v>167</v>
      </c>
    </row>
    <row r="709">
      <c r="G709" t="s">
        <v>167</v>
      </c>
      <c r="I709" t="s">
        <v>167</v>
      </c>
      <c r="K709" t="s">
        <v>167</v>
      </c>
      <c r="M709" t="s">
        <v>167</v>
      </c>
      <c r="O709" t="s">
        <v>167</v>
      </c>
      <c r="Q709" t="s">
        <v>167</v>
      </c>
      <c r="S709" t="s">
        <v>167</v>
      </c>
      <c r="U709" t="s">
        <v>167</v>
      </c>
      <c r="W709" t="s">
        <v>167</v>
      </c>
      <c r="Y709" t="s">
        <v>167</v>
      </c>
    </row>
    <row r="710">
      <c r="G710" t="s">
        <v>167</v>
      </c>
      <c r="I710" t="s">
        <v>167</v>
      </c>
      <c r="K710" t="s">
        <v>167</v>
      </c>
      <c r="M710" t="s">
        <v>167</v>
      </c>
      <c r="O710" t="s">
        <v>167</v>
      </c>
      <c r="Q710" t="s">
        <v>167</v>
      </c>
      <c r="S710" t="s">
        <v>167</v>
      </c>
      <c r="U710" t="s">
        <v>167</v>
      </c>
      <c r="W710" t="s">
        <v>167</v>
      </c>
      <c r="Y710" t="s">
        <v>167</v>
      </c>
    </row>
    <row r="711">
      <c r="G711" t="s">
        <v>167</v>
      </c>
      <c r="I711" t="s">
        <v>167</v>
      </c>
      <c r="K711" t="s">
        <v>167</v>
      </c>
      <c r="M711" t="s">
        <v>167</v>
      </c>
      <c r="O711" t="s">
        <v>167</v>
      </c>
      <c r="Q711" t="s">
        <v>167</v>
      </c>
      <c r="S711" t="s">
        <v>167</v>
      </c>
      <c r="U711" t="s">
        <v>167</v>
      </c>
      <c r="W711" t="s">
        <v>167</v>
      </c>
      <c r="Y711" t="s">
        <v>167</v>
      </c>
    </row>
    <row r="712">
      <c r="G712" t="s">
        <v>167</v>
      </c>
      <c r="I712" t="s">
        <v>167</v>
      </c>
      <c r="K712" t="s">
        <v>167</v>
      </c>
      <c r="M712" t="s">
        <v>167</v>
      </c>
      <c r="O712" t="s">
        <v>167</v>
      </c>
      <c r="Q712" t="s">
        <v>167</v>
      </c>
      <c r="S712" t="s">
        <v>167</v>
      </c>
      <c r="U712" t="s">
        <v>167</v>
      </c>
      <c r="W712" t="s">
        <v>167</v>
      </c>
      <c r="Y712" t="s">
        <v>167</v>
      </c>
    </row>
    <row r="713">
      <c r="G713" t="s">
        <v>167</v>
      </c>
      <c r="I713" t="s">
        <v>167</v>
      </c>
      <c r="K713" t="s">
        <v>167</v>
      </c>
      <c r="M713" t="s">
        <v>167</v>
      </c>
      <c r="O713" t="s">
        <v>167</v>
      </c>
      <c r="Q713" t="s">
        <v>167</v>
      </c>
      <c r="S713" t="s">
        <v>167</v>
      </c>
      <c r="U713" t="s">
        <v>167</v>
      </c>
      <c r="W713" t="s">
        <v>167</v>
      </c>
      <c r="Y713" t="s">
        <v>167</v>
      </c>
    </row>
    <row r="714">
      <c r="G714" t="s">
        <v>167</v>
      </c>
      <c r="I714" t="s">
        <v>167</v>
      </c>
      <c r="K714" t="s">
        <v>167</v>
      </c>
      <c r="M714" t="s">
        <v>167</v>
      </c>
      <c r="O714" t="s">
        <v>167</v>
      </c>
      <c r="Q714" t="s">
        <v>167</v>
      </c>
      <c r="S714" t="s">
        <v>167</v>
      </c>
      <c r="U714" t="s">
        <v>167</v>
      </c>
      <c r="W714" t="s">
        <v>167</v>
      </c>
      <c r="Y714" t="s">
        <v>167</v>
      </c>
    </row>
    <row r="715">
      <c r="G715" t="s">
        <v>167</v>
      </c>
      <c r="I715" t="s">
        <v>167</v>
      </c>
      <c r="K715" t="s">
        <v>167</v>
      </c>
      <c r="M715" t="s">
        <v>167</v>
      </c>
      <c r="O715" t="s">
        <v>167</v>
      </c>
      <c r="Q715" t="s">
        <v>167</v>
      </c>
      <c r="S715" t="s">
        <v>167</v>
      </c>
      <c r="U715" t="s">
        <v>167</v>
      </c>
      <c r="W715" t="s">
        <v>167</v>
      </c>
      <c r="Y715" t="s">
        <v>167</v>
      </c>
    </row>
    <row r="716">
      <c r="G716" t="s">
        <v>167</v>
      </c>
      <c r="I716" t="s">
        <v>167</v>
      </c>
      <c r="K716" t="s">
        <v>167</v>
      </c>
      <c r="M716" t="s">
        <v>167</v>
      </c>
      <c r="O716" t="s">
        <v>167</v>
      </c>
      <c r="Q716" t="s">
        <v>167</v>
      </c>
      <c r="S716" t="s">
        <v>167</v>
      </c>
      <c r="U716" t="s">
        <v>167</v>
      </c>
      <c r="W716" t="s">
        <v>167</v>
      </c>
      <c r="Y716" t="s">
        <v>167</v>
      </c>
    </row>
    <row r="717">
      <c r="G717" t="s">
        <v>167</v>
      </c>
      <c r="I717" t="s">
        <v>167</v>
      </c>
      <c r="K717" t="s">
        <v>167</v>
      </c>
      <c r="M717" t="s">
        <v>167</v>
      </c>
      <c r="O717" t="s">
        <v>167</v>
      </c>
      <c r="Q717" t="s">
        <v>167</v>
      </c>
      <c r="S717" t="s">
        <v>167</v>
      </c>
      <c r="U717" t="s">
        <v>167</v>
      </c>
      <c r="W717" t="s">
        <v>167</v>
      </c>
      <c r="Y717" t="s">
        <v>167</v>
      </c>
    </row>
    <row r="718">
      <c r="G718" t="s">
        <v>167</v>
      </c>
      <c r="I718" t="s">
        <v>167</v>
      </c>
      <c r="K718" t="s">
        <v>167</v>
      </c>
      <c r="M718" t="s">
        <v>167</v>
      </c>
      <c r="O718" t="s">
        <v>167</v>
      </c>
      <c r="Q718" t="s">
        <v>167</v>
      </c>
      <c r="S718" t="s">
        <v>167</v>
      </c>
      <c r="U718" t="s">
        <v>167</v>
      </c>
      <c r="W718" t="s">
        <v>167</v>
      </c>
      <c r="Y718" t="s">
        <v>167</v>
      </c>
    </row>
    <row r="719">
      <c r="G719" t="s">
        <v>167</v>
      </c>
      <c r="I719" t="s">
        <v>167</v>
      </c>
      <c r="K719" t="s">
        <v>167</v>
      </c>
      <c r="M719" t="s">
        <v>167</v>
      </c>
      <c r="O719" t="s">
        <v>167</v>
      </c>
      <c r="Q719" t="s">
        <v>167</v>
      </c>
      <c r="S719" t="s">
        <v>167</v>
      </c>
      <c r="U719" t="s">
        <v>167</v>
      </c>
      <c r="W719" t="s">
        <v>167</v>
      </c>
      <c r="Y719" t="s">
        <v>167</v>
      </c>
    </row>
    <row r="720">
      <c r="G720" t="s">
        <v>167</v>
      </c>
      <c r="I720" t="s">
        <v>167</v>
      </c>
      <c r="K720" t="s">
        <v>167</v>
      </c>
      <c r="M720" t="s">
        <v>167</v>
      </c>
      <c r="O720" t="s">
        <v>167</v>
      </c>
      <c r="Q720" t="s">
        <v>167</v>
      </c>
      <c r="S720" t="s">
        <v>167</v>
      </c>
      <c r="U720" t="s">
        <v>167</v>
      </c>
      <c r="W720" t="s">
        <v>167</v>
      </c>
      <c r="Y720" t="s">
        <v>167</v>
      </c>
    </row>
    <row r="721">
      <c r="G721" t="s">
        <v>167</v>
      </c>
      <c r="I721" t="s">
        <v>167</v>
      </c>
      <c r="K721" t="s">
        <v>167</v>
      </c>
      <c r="M721" t="s">
        <v>167</v>
      </c>
      <c r="O721" t="s">
        <v>167</v>
      </c>
      <c r="Q721" t="s">
        <v>167</v>
      </c>
      <c r="S721" t="s">
        <v>167</v>
      </c>
      <c r="U721" t="s">
        <v>167</v>
      </c>
      <c r="W721" t="s">
        <v>167</v>
      </c>
      <c r="Y721" t="s">
        <v>167</v>
      </c>
    </row>
    <row r="722">
      <c r="G722" t="s">
        <v>167</v>
      </c>
      <c r="I722" t="s">
        <v>167</v>
      </c>
      <c r="K722" t="s">
        <v>167</v>
      </c>
      <c r="M722" t="s">
        <v>167</v>
      </c>
      <c r="O722" t="s">
        <v>167</v>
      </c>
      <c r="Q722" t="s">
        <v>167</v>
      </c>
      <c r="S722" t="s">
        <v>167</v>
      </c>
      <c r="U722" t="s">
        <v>167</v>
      </c>
      <c r="W722" t="s">
        <v>167</v>
      </c>
      <c r="Y722" t="s">
        <v>167</v>
      </c>
    </row>
    <row r="723">
      <c r="G723" t="s">
        <v>167</v>
      </c>
      <c r="I723" t="s">
        <v>167</v>
      </c>
      <c r="K723" t="s">
        <v>167</v>
      </c>
      <c r="M723" t="s">
        <v>167</v>
      </c>
      <c r="O723" t="s">
        <v>167</v>
      </c>
      <c r="Q723" t="s">
        <v>167</v>
      </c>
      <c r="S723" t="s">
        <v>167</v>
      </c>
      <c r="U723" t="s">
        <v>167</v>
      </c>
      <c r="W723" t="s">
        <v>167</v>
      </c>
      <c r="Y723" t="s">
        <v>167</v>
      </c>
    </row>
    <row r="724">
      <c r="G724" t="s">
        <v>167</v>
      </c>
      <c r="I724" t="s">
        <v>167</v>
      </c>
      <c r="K724" t="s">
        <v>167</v>
      </c>
      <c r="M724" t="s">
        <v>167</v>
      </c>
      <c r="O724" t="s">
        <v>167</v>
      </c>
      <c r="Q724" t="s">
        <v>167</v>
      </c>
      <c r="S724" t="s">
        <v>167</v>
      </c>
      <c r="U724" t="s">
        <v>167</v>
      </c>
      <c r="W724" t="s">
        <v>167</v>
      </c>
      <c r="Y724" t="s">
        <v>167</v>
      </c>
    </row>
    <row r="725">
      <c r="G725" t="s">
        <v>167</v>
      </c>
      <c r="I725" t="s">
        <v>167</v>
      </c>
      <c r="K725" t="s">
        <v>167</v>
      </c>
      <c r="M725" t="s">
        <v>167</v>
      </c>
      <c r="O725" t="s">
        <v>167</v>
      </c>
      <c r="Q725" t="s">
        <v>167</v>
      </c>
      <c r="S725" t="s">
        <v>167</v>
      </c>
      <c r="U725" t="s">
        <v>167</v>
      </c>
      <c r="W725" t="s">
        <v>167</v>
      </c>
      <c r="Y725" t="s">
        <v>167</v>
      </c>
    </row>
    <row r="726">
      <c r="G726" t="s">
        <v>167</v>
      </c>
      <c r="I726" t="s">
        <v>167</v>
      </c>
      <c r="K726" t="s">
        <v>167</v>
      </c>
      <c r="M726" t="s">
        <v>167</v>
      </c>
      <c r="O726" t="s">
        <v>167</v>
      </c>
      <c r="Q726" t="s">
        <v>167</v>
      </c>
      <c r="S726" t="s">
        <v>167</v>
      </c>
      <c r="U726" t="s">
        <v>167</v>
      </c>
      <c r="W726" t="s">
        <v>167</v>
      </c>
      <c r="Y726" t="s">
        <v>167</v>
      </c>
    </row>
    <row r="727">
      <c r="G727" t="s">
        <v>167</v>
      </c>
      <c r="I727" t="s">
        <v>167</v>
      </c>
      <c r="K727" t="s">
        <v>167</v>
      </c>
      <c r="M727" t="s">
        <v>167</v>
      </c>
      <c r="O727" t="s">
        <v>167</v>
      </c>
      <c r="Q727" t="s">
        <v>167</v>
      </c>
      <c r="S727" t="s">
        <v>167</v>
      </c>
      <c r="U727" t="s">
        <v>167</v>
      </c>
      <c r="W727" t="s">
        <v>167</v>
      </c>
      <c r="Y727" t="s">
        <v>167</v>
      </c>
    </row>
    <row r="728">
      <c r="G728" t="s">
        <v>167</v>
      </c>
      <c r="I728" t="s">
        <v>167</v>
      </c>
      <c r="K728" t="s">
        <v>167</v>
      </c>
      <c r="M728" t="s">
        <v>167</v>
      </c>
      <c r="O728" t="s">
        <v>167</v>
      </c>
      <c r="Q728" t="s">
        <v>167</v>
      </c>
      <c r="S728" t="s">
        <v>167</v>
      </c>
      <c r="U728" t="s">
        <v>167</v>
      </c>
      <c r="W728" t="s">
        <v>167</v>
      </c>
      <c r="Y728" t="s">
        <v>167</v>
      </c>
    </row>
    <row r="729">
      <c r="G729" t="s">
        <v>167</v>
      </c>
      <c r="I729" t="s">
        <v>167</v>
      </c>
      <c r="K729" t="s">
        <v>167</v>
      </c>
      <c r="M729" t="s">
        <v>167</v>
      </c>
      <c r="O729" t="s">
        <v>167</v>
      </c>
      <c r="Q729" t="s">
        <v>167</v>
      </c>
      <c r="S729" t="s">
        <v>167</v>
      </c>
      <c r="U729" t="s">
        <v>167</v>
      </c>
      <c r="W729" t="s">
        <v>167</v>
      </c>
      <c r="Y729" t="s">
        <v>167</v>
      </c>
    </row>
    <row r="730">
      <c r="G730" t="s">
        <v>167</v>
      </c>
      <c r="I730" t="s">
        <v>167</v>
      </c>
      <c r="K730" t="s">
        <v>167</v>
      </c>
      <c r="M730" t="s">
        <v>167</v>
      </c>
      <c r="O730" t="s">
        <v>167</v>
      </c>
      <c r="Q730" t="s">
        <v>167</v>
      </c>
      <c r="S730" t="s">
        <v>167</v>
      </c>
      <c r="U730" t="s">
        <v>167</v>
      </c>
      <c r="W730" t="s">
        <v>167</v>
      </c>
      <c r="Y730" t="s">
        <v>167</v>
      </c>
    </row>
    <row r="731">
      <c r="G731" t="s">
        <v>167</v>
      </c>
      <c r="I731" t="s">
        <v>167</v>
      </c>
      <c r="K731" t="s">
        <v>167</v>
      </c>
      <c r="M731" t="s">
        <v>167</v>
      </c>
      <c r="O731" t="s">
        <v>167</v>
      </c>
      <c r="Q731" t="s">
        <v>167</v>
      </c>
      <c r="S731" t="s">
        <v>167</v>
      </c>
      <c r="U731" t="s">
        <v>167</v>
      </c>
      <c r="W731" t="s">
        <v>167</v>
      </c>
      <c r="Y731" t="s">
        <v>167</v>
      </c>
    </row>
    <row r="732">
      <c r="G732" t="s">
        <v>167</v>
      </c>
      <c r="I732" t="s">
        <v>167</v>
      </c>
      <c r="K732" t="s">
        <v>167</v>
      </c>
      <c r="M732" t="s">
        <v>167</v>
      </c>
      <c r="O732" t="s">
        <v>167</v>
      </c>
      <c r="Q732" t="s">
        <v>167</v>
      </c>
      <c r="S732" t="s">
        <v>167</v>
      </c>
      <c r="U732" t="s">
        <v>167</v>
      </c>
      <c r="W732" t="s">
        <v>167</v>
      </c>
      <c r="Y732" t="s">
        <v>167</v>
      </c>
    </row>
    <row r="733">
      <c r="G733" t="s">
        <v>167</v>
      </c>
      <c r="I733" t="s">
        <v>167</v>
      </c>
      <c r="K733" t="s">
        <v>167</v>
      </c>
      <c r="M733" t="s">
        <v>167</v>
      </c>
      <c r="O733" t="s">
        <v>167</v>
      </c>
      <c r="Q733" t="s">
        <v>167</v>
      </c>
      <c r="S733" t="s">
        <v>167</v>
      </c>
      <c r="U733" t="s">
        <v>167</v>
      </c>
      <c r="W733" t="s">
        <v>167</v>
      </c>
      <c r="Y733" t="s">
        <v>167</v>
      </c>
    </row>
    <row r="734">
      <c r="G734" t="s">
        <v>167</v>
      </c>
      <c r="I734" t="s">
        <v>167</v>
      </c>
      <c r="K734" t="s">
        <v>167</v>
      </c>
      <c r="M734" t="s">
        <v>167</v>
      </c>
      <c r="O734" t="s">
        <v>167</v>
      </c>
      <c r="Q734" t="s">
        <v>167</v>
      </c>
      <c r="S734" t="s">
        <v>167</v>
      </c>
      <c r="U734" t="s">
        <v>167</v>
      </c>
      <c r="W734" t="s">
        <v>167</v>
      </c>
      <c r="Y734" t="s">
        <v>167</v>
      </c>
    </row>
    <row r="735">
      <c r="G735" t="s">
        <v>167</v>
      </c>
      <c r="I735" t="s">
        <v>167</v>
      </c>
      <c r="K735" t="s">
        <v>167</v>
      </c>
      <c r="M735" t="s">
        <v>167</v>
      </c>
      <c r="O735" t="s">
        <v>167</v>
      </c>
      <c r="Q735" t="s">
        <v>167</v>
      </c>
      <c r="S735" t="s">
        <v>167</v>
      </c>
      <c r="U735" t="s">
        <v>167</v>
      </c>
      <c r="W735" t="s">
        <v>167</v>
      </c>
      <c r="Y735" t="s">
        <v>167</v>
      </c>
    </row>
    <row r="736">
      <c r="G736" t="s">
        <v>167</v>
      </c>
      <c r="I736" t="s">
        <v>167</v>
      </c>
      <c r="K736" t="s">
        <v>167</v>
      </c>
      <c r="M736" t="s">
        <v>167</v>
      </c>
      <c r="O736" t="s">
        <v>167</v>
      </c>
      <c r="Q736" t="s">
        <v>167</v>
      </c>
      <c r="S736" t="s">
        <v>167</v>
      </c>
      <c r="U736" t="s">
        <v>167</v>
      </c>
      <c r="W736" t="s">
        <v>167</v>
      </c>
      <c r="Y736" t="s">
        <v>167</v>
      </c>
    </row>
    <row r="737">
      <c r="G737" t="s">
        <v>167</v>
      </c>
      <c r="I737" t="s">
        <v>167</v>
      </c>
      <c r="K737" t="s">
        <v>167</v>
      </c>
      <c r="M737" t="s">
        <v>167</v>
      </c>
      <c r="O737" t="s">
        <v>167</v>
      </c>
      <c r="Q737" t="s">
        <v>167</v>
      </c>
      <c r="S737" t="s">
        <v>167</v>
      </c>
      <c r="U737" t="s">
        <v>167</v>
      </c>
      <c r="W737" t="s">
        <v>167</v>
      </c>
      <c r="Y737" t="s">
        <v>167</v>
      </c>
    </row>
    <row r="738">
      <c r="G738" t="s">
        <v>167</v>
      </c>
      <c r="I738" t="s">
        <v>167</v>
      </c>
      <c r="K738" t="s">
        <v>167</v>
      </c>
      <c r="M738" t="s">
        <v>167</v>
      </c>
      <c r="O738" t="s">
        <v>167</v>
      </c>
      <c r="Q738" t="s">
        <v>167</v>
      </c>
      <c r="S738" t="s">
        <v>167</v>
      </c>
      <c r="U738" t="s">
        <v>167</v>
      </c>
      <c r="W738" t="s">
        <v>167</v>
      </c>
      <c r="Y738" t="s">
        <v>167</v>
      </c>
    </row>
    <row r="739">
      <c r="G739" t="s">
        <v>167</v>
      </c>
      <c r="I739" t="s">
        <v>167</v>
      </c>
      <c r="K739" t="s">
        <v>167</v>
      </c>
      <c r="M739" t="s">
        <v>167</v>
      </c>
      <c r="O739" t="s">
        <v>167</v>
      </c>
      <c r="Q739" t="s">
        <v>167</v>
      </c>
      <c r="S739" t="s">
        <v>167</v>
      </c>
      <c r="U739" t="s">
        <v>167</v>
      </c>
      <c r="W739" t="s">
        <v>167</v>
      </c>
      <c r="Y739" t="s">
        <v>167</v>
      </c>
    </row>
    <row r="740">
      <c r="G740" t="s">
        <v>167</v>
      </c>
      <c r="I740" t="s">
        <v>167</v>
      </c>
      <c r="K740" t="s">
        <v>167</v>
      </c>
      <c r="M740" t="s">
        <v>167</v>
      </c>
      <c r="O740" t="s">
        <v>167</v>
      </c>
      <c r="Q740" t="s">
        <v>167</v>
      </c>
      <c r="S740" t="s">
        <v>167</v>
      </c>
      <c r="U740" t="s">
        <v>167</v>
      </c>
      <c r="W740" t="s">
        <v>167</v>
      </c>
      <c r="Y740" t="s">
        <v>167</v>
      </c>
    </row>
    <row r="741">
      <c r="G741" t="s">
        <v>167</v>
      </c>
      <c r="I741" t="s">
        <v>167</v>
      </c>
      <c r="K741" t="s">
        <v>167</v>
      </c>
      <c r="M741" t="s">
        <v>167</v>
      </c>
      <c r="O741" t="s">
        <v>167</v>
      </c>
      <c r="Q741" t="s">
        <v>167</v>
      </c>
      <c r="S741" t="s">
        <v>167</v>
      </c>
      <c r="U741" t="s">
        <v>167</v>
      </c>
      <c r="W741" t="s">
        <v>167</v>
      </c>
      <c r="Y741" t="s">
        <v>167</v>
      </c>
    </row>
    <row r="742">
      <c r="G742" t="s">
        <v>167</v>
      </c>
      <c r="I742" t="s">
        <v>167</v>
      </c>
      <c r="K742" t="s">
        <v>167</v>
      </c>
      <c r="M742" t="s">
        <v>167</v>
      </c>
      <c r="O742" t="s">
        <v>167</v>
      </c>
      <c r="Q742" t="s">
        <v>167</v>
      </c>
      <c r="S742" t="s">
        <v>167</v>
      </c>
      <c r="U742" t="s">
        <v>167</v>
      </c>
      <c r="W742" t="s">
        <v>167</v>
      </c>
      <c r="Y742" t="s">
        <v>167</v>
      </c>
    </row>
    <row r="743">
      <c r="G743" t="s">
        <v>167</v>
      </c>
      <c r="I743" t="s">
        <v>167</v>
      </c>
      <c r="K743" t="s">
        <v>167</v>
      </c>
      <c r="M743" t="s">
        <v>167</v>
      </c>
      <c r="O743" t="s">
        <v>167</v>
      </c>
      <c r="Q743" t="s">
        <v>167</v>
      </c>
      <c r="S743" t="s">
        <v>167</v>
      </c>
      <c r="U743" t="s">
        <v>167</v>
      </c>
      <c r="W743" t="s">
        <v>167</v>
      </c>
      <c r="Y743" t="s">
        <v>167</v>
      </c>
    </row>
    <row r="744">
      <c r="G744" t="s">
        <v>167</v>
      </c>
      <c r="I744" t="s">
        <v>167</v>
      </c>
      <c r="K744" t="s">
        <v>167</v>
      </c>
      <c r="M744" t="s">
        <v>167</v>
      </c>
      <c r="O744" t="s">
        <v>167</v>
      </c>
      <c r="Q744" t="s">
        <v>167</v>
      </c>
      <c r="S744" t="s">
        <v>167</v>
      </c>
      <c r="U744" t="s">
        <v>167</v>
      </c>
      <c r="W744" t="s">
        <v>167</v>
      </c>
      <c r="Y744" t="s">
        <v>167</v>
      </c>
    </row>
    <row r="745">
      <c r="G745" t="s">
        <v>167</v>
      </c>
      <c r="I745" t="s">
        <v>167</v>
      </c>
      <c r="K745" t="s">
        <v>167</v>
      </c>
      <c r="M745" t="s">
        <v>167</v>
      </c>
      <c r="O745" t="s">
        <v>167</v>
      </c>
      <c r="Q745" t="s">
        <v>167</v>
      </c>
      <c r="S745" t="s">
        <v>167</v>
      </c>
      <c r="U745" t="s">
        <v>167</v>
      </c>
      <c r="W745" t="s">
        <v>167</v>
      </c>
      <c r="Y745" t="s">
        <v>167</v>
      </c>
    </row>
    <row r="746">
      <c r="G746" t="s">
        <v>167</v>
      </c>
      <c r="I746" t="s">
        <v>167</v>
      </c>
      <c r="K746" t="s">
        <v>167</v>
      </c>
      <c r="M746" t="s">
        <v>167</v>
      </c>
      <c r="O746" t="s">
        <v>167</v>
      </c>
      <c r="Q746" t="s">
        <v>167</v>
      </c>
      <c r="S746" t="s">
        <v>167</v>
      </c>
      <c r="U746" t="s">
        <v>167</v>
      </c>
      <c r="W746" t="s">
        <v>167</v>
      </c>
      <c r="Y746" t="s">
        <v>167</v>
      </c>
    </row>
    <row r="747">
      <c r="G747" t="s">
        <v>167</v>
      </c>
      <c r="I747" t="s">
        <v>167</v>
      </c>
      <c r="K747" t="s">
        <v>167</v>
      </c>
      <c r="M747" t="s">
        <v>167</v>
      </c>
      <c r="O747" t="s">
        <v>167</v>
      </c>
      <c r="Q747" t="s">
        <v>167</v>
      </c>
      <c r="S747" t="s">
        <v>167</v>
      </c>
      <c r="U747" t="s">
        <v>167</v>
      </c>
      <c r="W747" t="s">
        <v>167</v>
      </c>
      <c r="Y747" t="s">
        <v>167</v>
      </c>
    </row>
    <row r="748">
      <c r="G748" t="s">
        <v>167</v>
      </c>
      <c r="I748" t="s">
        <v>167</v>
      </c>
      <c r="K748" t="s">
        <v>167</v>
      </c>
      <c r="M748" t="s">
        <v>167</v>
      </c>
      <c r="O748" t="s">
        <v>167</v>
      </c>
      <c r="Q748" t="s">
        <v>167</v>
      </c>
      <c r="S748" t="s">
        <v>167</v>
      </c>
      <c r="U748" t="s">
        <v>167</v>
      </c>
      <c r="W748" t="s">
        <v>167</v>
      </c>
      <c r="Y748" t="s">
        <v>167</v>
      </c>
    </row>
    <row r="749">
      <c r="G749" t="s">
        <v>167</v>
      </c>
      <c r="I749" t="s">
        <v>167</v>
      </c>
      <c r="K749" t="s">
        <v>167</v>
      </c>
      <c r="M749" t="s">
        <v>167</v>
      </c>
      <c r="O749" t="s">
        <v>167</v>
      </c>
      <c r="Q749" t="s">
        <v>167</v>
      </c>
      <c r="S749" t="s">
        <v>167</v>
      </c>
      <c r="U749" t="s">
        <v>167</v>
      </c>
      <c r="W749" t="s">
        <v>167</v>
      </c>
      <c r="Y749" t="s">
        <v>167</v>
      </c>
    </row>
    <row r="750">
      <c r="G750" t="s">
        <v>167</v>
      </c>
      <c r="I750" t="s">
        <v>167</v>
      </c>
      <c r="K750" t="s">
        <v>167</v>
      </c>
      <c r="M750" t="s">
        <v>167</v>
      </c>
      <c r="O750" t="s">
        <v>167</v>
      </c>
      <c r="Q750" t="s">
        <v>167</v>
      </c>
      <c r="S750" t="s">
        <v>167</v>
      </c>
      <c r="U750" t="s">
        <v>167</v>
      </c>
      <c r="W750" t="s">
        <v>167</v>
      </c>
      <c r="Y750" t="s">
        <v>167</v>
      </c>
    </row>
    <row r="751">
      <c r="G751" t="s">
        <v>167</v>
      </c>
      <c r="I751" t="s">
        <v>167</v>
      </c>
      <c r="K751" t="s">
        <v>167</v>
      </c>
      <c r="M751" t="s">
        <v>167</v>
      </c>
      <c r="O751" t="s">
        <v>167</v>
      </c>
      <c r="Q751" t="s">
        <v>167</v>
      </c>
      <c r="S751" t="s">
        <v>167</v>
      </c>
      <c r="U751" t="s">
        <v>167</v>
      </c>
      <c r="W751" t="s">
        <v>167</v>
      </c>
      <c r="Y751" t="s">
        <v>167</v>
      </c>
    </row>
    <row r="752">
      <c r="G752" t="s">
        <v>167</v>
      </c>
      <c r="I752" t="s">
        <v>167</v>
      </c>
      <c r="K752" t="s">
        <v>167</v>
      </c>
      <c r="M752" t="s">
        <v>167</v>
      </c>
      <c r="O752" t="s">
        <v>167</v>
      </c>
      <c r="Q752" t="s">
        <v>167</v>
      </c>
      <c r="S752" t="s">
        <v>167</v>
      </c>
      <c r="U752" t="s">
        <v>167</v>
      </c>
      <c r="W752" t="s">
        <v>167</v>
      </c>
      <c r="Y752" t="s">
        <v>167</v>
      </c>
    </row>
    <row r="753">
      <c r="G753" t="s">
        <v>167</v>
      </c>
      <c r="I753" t="s">
        <v>167</v>
      </c>
      <c r="K753" t="s">
        <v>167</v>
      </c>
      <c r="M753" t="s">
        <v>167</v>
      </c>
      <c r="O753" t="s">
        <v>167</v>
      </c>
      <c r="Q753" t="s">
        <v>167</v>
      </c>
      <c r="S753" t="s">
        <v>167</v>
      </c>
      <c r="U753" t="s">
        <v>167</v>
      </c>
      <c r="W753" t="s">
        <v>167</v>
      </c>
      <c r="Y753" t="s">
        <v>167</v>
      </c>
    </row>
    <row r="754">
      <c r="G754" t="s">
        <v>167</v>
      </c>
      <c r="I754" t="s">
        <v>167</v>
      </c>
      <c r="K754" t="s">
        <v>167</v>
      </c>
      <c r="M754" t="s">
        <v>167</v>
      </c>
      <c r="O754" t="s">
        <v>167</v>
      </c>
      <c r="Q754" t="s">
        <v>167</v>
      </c>
      <c r="S754" t="s">
        <v>167</v>
      </c>
      <c r="U754" t="s">
        <v>167</v>
      </c>
      <c r="W754" t="s">
        <v>167</v>
      </c>
      <c r="Y754" t="s">
        <v>167</v>
      </c>
    </row>
    <row r="755">
      <c r="G755" t="s">
        <v>167</v>
      </c>
      <c r="I755" t="s">
        <v>167</v>
      </c>
      <c r="K755" t="s">
        <v>167</v>
      </c>
      <c r="M755" t="s">
        <v>167</v>
      </c>
      <c r="O755" t="s">
        <v>167</v>
      </c>
      <c r="Q755" t="s">
        <v>167</v>
      </c>
      <c r="S755" t="s">
        <v>167</v>
      </c>
      <c r="U755" t="s">
        <v>167</v>
      </c>
      <c r="W755" t="s">
        <v>167</v>
      </c>
      <c r="Y755" t="s">
        <v>167</v>
      </c>
    </row>
    <row r="756">
      <c r="G756" t="s">
        <v>167</v>
      </c>
      <c r="I756" t="s">
        <v>167</v>
      </c>
      <c r="K756" t="s">
        <v>167</v>
      </c>
      <c r="M756" t="s">
        <v>167</v>
      </c>
      <c r="O756" t="s">
        <v>167</v>
      </c>
      <c r="Q756" t="s">
        <v>167</v>
      </c>
      <c r="S756" t="s">
        <v>167</v>
      </c>
      <c r="U756" t="s">
        <v>167</v>
      </c>
      <c r="W756" t="s">
        <v>167</v>
      </c>
      <c r="Y756" t="s">
        <v>167</v>
      </c>
    </row>
    <row r="757">
      <c r="G757" t="s">
        <v>167</v>
      </c>
      <c r="I757" t="s">
        <v>167</v>
      </c>
      <c r="K757" t="s">
        <v>167</v>
      </c>
      <c r="M757" t="s">
        <v>167</v>
      </c>
      <c r="O757" t="s">
        <v>167</v>
      </c>
      <c r="Q757" t="s">
        <v>167</v>
      </c>
      <c r="S757" t="s">
        <v>167</v>
      </c>
      <c r="U757" t="s">
        <v>167</v>
      </c>
      <c r="W757" t="s">
        <v>167</v>
      </c>
      <c r="Y757" t="s">
        <v>167</v>
      </c>
    </row>
    <row r="758">
      <c r="G758" t="s">
        <v>167</v>
      </c>
      <c r="I758" t="s">
        <v>167</v>
      </c>
      <c r="K758" t="s">
        <v>167</v>
      </c>
      <c r="M758" t="s">
        <v>167</v>
      </c>
      <c r="O758" t="s">
        <v>167</v>
      </c>
      <c r="Q758" t="s">
        <v>167</v>
      </c>
      <c r="S758" t="s">
        <v>167</v>
      </c>
      <c r="U758" t="s">
        <v>167</v>
      </c>
      <c r="W758" t="s">
        <v>167</v>
      </c>
      <c r="Y758" t="s">
        <v>167</v>
      </c>
    </row>
    <row r="759">
      <c r="G759" t="s">
        <v>167</v>
      </c>
      <c r="I759" t="s">
        <v>167</v>
      </c>
      <c r="K759" t="s">
        <v>167</v>
      </c>
      <c r="M759" t="s">
        <v>167</v>
      </c>
      <c r="O759" t="s">
        <v>167</v>
      </c>
      <c r="Q759" t="s">
        <v>167</v>
      </c>
      <c r="S759" t="s">
        <v>167</v>
      </c>
      <c r="U759" t="s">
        <v>167</v>
      </c>
      <c r="W759" t="s">
        <v>167</v>
      </c>
      <c r="Y759" t="s">
        <v>167</v>
      </c>
    </row>
    <row r="760">
      <c r="G760" t="s">
        <v>167</v>
      </c>
      <c r="I760" t="s">
        <v>167</v>
      </c>
      <c r="K760" t="s">
        <v>167</v>
      </c>
      <c r="M760" t="s">
        <v>167</v>
      </c>
      <c r="O760" t="s">
        <v>167</v>
      </c>
      <c r="Q760" t="s">
        <v>167</v>
      </c>
      <c r="S760" t="s">
        <v>167</v>
      </c>
      <c r="U760" t="s">
        <v>167</v>
      </c>
      <c r="W760" t="s">
        <v>167</v>
      </c>
      <c r="Y760" t="s">
        <v>167</v>
      </c>
    </row>
    <row r="761">
      <c r="G761" t="s">
        <v>167</v>
      </c>
      <c r="I761" t="s">
        <v>167</v>
      </c>
      <c r="K761" t="s">
        <v>167</v>
      </c>
      <c r="M761" t="s">
        <v>167</v>
      </c>
      <c r="O761" t="s">
        <v>167</v>
      </c>
      <c r="Q761" t="s">
        <v>167</v>
      </c>
      <c r="S761" t="s">
        <v>167</v>
      </c>
      <c r="U761" t="s">
        <v>167</v>
      </c>
      <c r="W761" t="s">
        <v>167</v>
      </c>
      <c r="Y761" t="s">
        <v>167</v>
      </c>
    </row>
    <row r="762">
      <c r="G762" t="s">
        <v>167</v>
      </c>
      <c r="I762" t="s">
        <v>167</v>
      </c>
      <c r="K762" t="s">
        <v>167</v>
      </c>
      <c r="M762" t="s">
        <v>167</v>
      </c>
      <c r="O762" t="s">
        <v>167</v>
      </c>
      <c r="Q762" t="s">
        <v>167</v>
      </c>
      <c r="S762" t="s">
        <v>167</v>
      </c>
      <c r="U762" t="s">
        <v>167</v>
      </c>
      <c r="W762" t="s">
        <v>167</v>
      </c>
      <c r="Y762" t="s">
        <v>167</v>
      </c>
    </row>
    <row r="763">
      <c r="G763" t="s">
        <v>167</v>
      </c>
      <c r="I763" t="s">
        <v>167</v>
      </c>
      <c r="K763" t="s">
        <v>167</v>
      </c>
      <c r="M763" t="s">
        <v>167</v>
      </c>
      <c r="O763" t="s">
        <v>167</v>
      </c>
      <c r="Q763" t="s">
        <v>167</v>
      </c>
      <c r="S763" t="s">
        <v>167</v>
      </c>
      <c r="U763" t="s">
        <v>167</v>
      </c>
      <c r="W763" t="s">
        <v>167</v>
      </c>
      <c r="Y763" t="s">
        <v>167</v>
      </c>
    </row>
    <row r="764">
      <c r="G764" t="s">
        <v>167</v>
      </c>
      <c r="I764" t="s">
        <v>167</v>
      </c>
      <c r="K764" t="s">
        <v>167</v>
      </c>
      <c r="M764" t="s">
        <v>167</v>
      </c>
      <c r="O764" t="s">
        <v>167</v>
      </c>
      <c r="Q764" t="s">
        <v>167</v>
      </c>
      <c r="S764" t="s">
        <v>167</v>
      </c>
      <c r="U764" t="s">
        <v>167</v>
      </c>
      <c r="W764" t="s">
        <v>167</v>
      </c>
      <c r="Y764" t="s">
        <v>167</v>
      </c>
    </row>
    <row r="765">
      <c r="G765" t="s">
        <v>167</v>
      </c>
      <c r="I765" t="s">
        <v>167</v>
      </c>
      <c r="K765" t="s">
        <v>167</v>
      </c>
      <c r="M765" t="s">
        <v>167</v>
      </c>
      <c r="O765" t="s">
        <v>167</v>
      </c>
      <c r="Q765" t="s">
        <v>167</v>
      </c>
      <c r="S765" t="s">
        <v>167</v>
      </c>
      <c r="U765" t="s">
        <v>167</v>
      </c>
      <c r="W765" t="s">
        <v>167</v>
      </c>
      <c r="Y765" t="s">
        <v>167</v>
      </c>
    </row>
    <row r="766">
      <c r="G766" t="s">
        <v>167</v>
      </c>
      <c r="I766" t="s">
        <v>167</v>
      </c>
      <c r="K766" t="s">
        <v>167</v>
      </c>
      <c r="M766" t="s">
        <v>167</v>
      </c>
      <c r="O766" t="s">
        <v>167</v>
      </c>
      <c r="Q766" t="s">
        <v>167</v>
      </c>
      <c r="S766" t="s">
        <v>167</v>
      </c>
      <c r="U766" t="s">
        <v>167</v>
      </c>
      <c r="W766" t="s">
        <v>167</v>
      </c>
      <c r="Y766" t="s">
        <v>167</v>
      </c>
    </row>
    <row r="767">
      <c r="G767" t="s">
        <v>167</v>
      </c>
      <c r="I767" t="s">
        <v>167</v>
      </c>
      <c r="K767" t="s">
        <v>167</v>
      </c>
      <c r="M767" t="s">
        <v>167</v>
      </c>
      <c r="O767" t="s">
        <v>167</v>
      </c>
      <c r="Q767" t="s">
        <v>167</v>
      </c>
      <c r="S767" t="s">
        <v>167</v>
      </c>
      <c r="U767" t="s">
        <v>167</v>
      </c>
      <c r="W767" t="s">
        <v>167</v>
      </c>
      <c r="Y767" t="s">
        <v>167</v>
      </c>
    </row>
    <row r="768">
      <c r="G768" t="s">
        <v>167</v>
      </c>
      <c r="I768" t="s">
        <v>167</v>
      </c>
      <c r="K768" t="s">
        <v>167</v>
      </c>
      <c r="M768" t="s">
        <v>167</v>
      </c>
      <c r="O768" t="s">
        <v>167</v>
      </c>
      <c r="Q768" t="s">
        <v>167</v>
      </c>
      <c r="S768" t="s">
        <v>167</v>
      </c>
      <c r="U768" t="s">
        <v>167</v>
      </c>
      <c r="W768" t="s">
        <v>167</v>
      </c>
      <c r="Y768" t="s">
        <v>167</v>
      </c>
    </row>
    <row r="769">
      <c r="G769" t="s">
        <v>167</v>
      </c>
      <c r="I769" t="s">
        <v>167</v>
      </c>
      <c r="K769" t="s">
        <v>167</v>
      </c>
      <c r="M769" t="s">
        <v>167</v>
      </c>
      <c r="O769" t="s">
        <v>167</v>
      </c>
      <c r="Q769" t="s">
        <v>167</v>
      </c>
      <c r="S769" t="s">
        <v>167</v>
      </c>
      <c r="U769" t="s">
        <v>167</v>
      </c>
      <c r="W769" t="s">
        <v>167</v>
      </c>
      <c r="Y769" t="s">
        <v>167</v>
      </c>
    </row>
    <row r="770">
      <c r="G770" t="s">
        <v>167</v>
      </c>
      <c r="I770" t="s">
        <v>167</v>
      </c>
      <c r="K770" t="s">
        <v>167</v>
      </c>
      <c r="M770" t="s">
        <v>167</v>
      </c>
      <c r="O770" t="s">
        <v>167</v>
      </c>
      <c r="Q770" t="s">
        <v>167</v>
      </c>
      <c r="S770" t="s">
        <v>167</v>
      </c>
      <c r="U770" t="s">
        <v>167</v>
      </c>
      <c r="W770" t="s">
        <v>167</v>
      </c>
      <c r="Y770" t="s">
        <v>167</v>
      </c>
    </row>
    <row r="771">
      <c r="G771" t="s">
        <v>167</v>
      </c>
      <c r="I771" t="s">
        <v>167</v>
      </c>
      <c r="K771" t="s">
        <v>167</v>
      </c>
      <c r="M771" t="s">
        <v>167</v>
      </c>
      <c r="O771" t="s">
        <v>167</v>
      </c>
      <c r="Q771" t="s">
        <v>167</v>
      </c>
      <c r="S771" t="s">
        <v>167</v>
      </c>
      <c r="U771" t="s">
        <v>167</v>
      </c>
      <c r="W771" t="s">
        <v>167</v>
      </c>
      <c r="Y771" t="s">
        <v>167</v>
      </c>
    </row>
    <row r="772">
      <c r="G772" t="s">
        <v>167</v>
      </c>
      <c r="I772" t="s">
        <v>167</v>
      </c>
      <c r="K772" t="s">
        <v>167</v>
      </c>
      <c r="M772" t="s">
        <v>167</v>
      </c>
      <c r="O772" t="s">
        <v>167</v>
      </c>
      <c r="Q772" t="s">
        <v>167</v>
      </c>
      <c r="S772" t="s">
        <v>167</v>
      </c>
      <c r="U772" t="s">
        <v>167</v>
      </c>
      <c r="W772" t="s">
        <v>167</v>
      </c>
      <c r="Y772" t="s">
        <v>167</v>
      </c>
    </row>
    <row r="773">
      <c r="G773" t="s">
        <v>167</v>
      </c>
      <c r="I773" t="s">
        <v>167</v>
      </c>
      <c r="K773" t="s">
        <v>167</v>
      </c>
      <c r="M773" t="s">
        <v>167</v>
      </c>
      <c r="O773" t="s">
        <v>167</v>
      </c>
      <c r="Q773" t="s">
        <v>167</v>
      </c>
      <c r="S773" t="s">
        <v>167</v>
      </c>
      <c r="U773" t="s">
        <v>167</v>
      </c>
      <c r="W773" t="s">
        <v>167</v>
      </c>
      <c r="Y773" t="s">
        <v>167</v>
      </c>
    </row>
    <row r="774">
      <c r="G774" t="s">
        <v>167</v>
      </c>
      <c r="I774" t="s">
        <v>167</v>
      </c>
      <c r="K774" t="s">
        <v>167</v>
      </c>
      <c r="M774" t="s">
        <v>167</v>
      </c>
      <c r="O774" t="s">
        <v>167</v>
      </c>
      <c r="Q774" t="s">
        <v>167</v>
      </c>
      <c r="S774" t="s">
        <v>167</v>
      </c>
      <c r="U774" t="s">
        <v>167</v>
      </c>
      <c r="W774" t="s">
        <v>167</v>
      </c>
      <c r="Y774" t="s">
        <v>167</v>
      </c>
    </row>
    <row r="775">
      <c r="G775" t="s">
        <v>167</v>
      </c>
      <c r="I775" t="s">
        <v>167</v>
      </c>
      <c r="K775" t="s">
        <v>167</v>
      </c>
      <c r="M775" t="s">
        <v>167</v>
      </c>
      <c r="O775" t="s">
        <v>167</v>
      </c>
      <c r="Q775" t="s">
        <v>167</v>
      </c>
      <c r="S775" t="s">
        <v>167</v>
      </c>
      <c r="U775" t="s">
        <v>167</v>
      </c>
      <c r="W775" t="s">
        <v>167</v>
      </c>
      <c r="Y775" t="s">
        <v>167</v>
      </c>
    </row>
    <row r="776">
      <c r="G776" t="s">
        <v>167</v>
      </c>
      <c r="I776" t="s">
        <v>167</v>
      </c>
      <c r="K776" t="s">
        <v>167</v>
      </c>
      <c r="M776" t="s">
        <v>167</v>
      </c>
      <c r="O776" t="s">
        <v>167</v>
      </c>
      <c r="Q776" t="s">
        <v>167</v>
      </c>
      <c r="S776" t="s">
        <v>167</v>
      </c>
      <c r="U776" t="s">
        <v>167</v>
      </c>
      <c r="W776" t="s">
        <v>167</v>
      </c>
      <c r="Y776" t="s">
        <v>167</v>
      </c>
    </row>
    <row r="777">
      <c r="G777" t="s">
        <v>167</v>
      </c>
      <c r="I777" t="s">
        <v>167</v>
      </c>
      <c r="K777" t="s">
        <v>167</v>
      </c>
      <c r="M777" t="s">
        <v>167</v>
      </c>
      <c r="O777" t="s">
        <v>167</v>
      </c>
      <c r="Q777" t="s">
        <v>167</v>
      </c>
      <c r="S777" t="s">
        <v>167</v>
      </c>
      <c r="U777" t="s">
        <v>167</v>
      </c>
      <c r="W777" t="s">
        <v>167</v>
      </c>
      <c r="Y777" t="s">
        <v>167</v>
      </c>
    </row>
    <row r="778">
      <c r="G778" t="s">
        <v>167</v>
      </c>
      <c r="I778" t="s">
        <v>167</v>
      </c>
      <c r="K778" t="s">
        <v>167</v>
      </c>
      <c r="M778" t="s">
        <v>167</v>
      </c>
      <c r="O778" t="s">
        <v>167</v>
      </c>
      <c r="Q778" t="s">
        <v>167</v>
      </c>
      <c r="S778" t="s">
        <v>167</v>
      </c>
      <c r="U778" t="s">
        <v>167</v>
      </c>
      <c r="W778" t="s">
        <v>167</v>
      </c>
      <c r="Y778" t="s">
        <v>167</v>
      </c>
    </row>
    <row r="779">
      <c r="G779" t="s">
        <v>167</v>
      </c>
      <c r="I779" t="s">
        <v>167</v>
      </c>
      <c r="K779" t="s">
        <v>167</v>
      </c>
      <c r="M779" t="s">
        <v>167</v>
      </c>
      <c r="O779" t="s">
        <v>167</v>
      </c>
      <c r="Q779" t="s">
        <v>167</v>
      </c>
      <c r="S779" t="s">
        <v>167</v>
      </c>
      <c r="U779" t="s">
        <v>167</v>
      </c>
      <c r="W779" t="s">
        <v>167</v>
      </c>
      <c r="Y779" t="s">
        <v>167</v>
      </c>
    </row>
    <row r="780">
      <c r="G780" t="s">
        <v>167</v>
      </c>
      <c r="I780" t="s">
        <v>167</v>
      </c>
      <c r="K780" t="s">
        <v>167</v>
      </c>
      <c r="M780" t="s">
        <v>167</v>
      </c>
      <c r="O780" t="s">
        <v>167</v>
      </c>
      <c r="Q780" t="s">
        <v>167</v>
      </c>
      <c r="S780" t="s">
        <v>167</v>
      </c>
      <c r="U780" t="s">
        <v>167</v>
      </c>
      <c r="W780" t="s">
        <v>167</v>
      </c>
      <c r="Y780" t="s">
        <v>167</v>
      </c>
    </row>
    <row r="781">
      <c r="G781" t="s">
        <v>167</v>
      </c>
      <c r="I781" t="s">
        <v>167</v>
      </c>
      <c r="K781" t="s">
        <v>167</v>
      </c>
      <c r="M781" t="s">
        <v>167</v>
      </c>
      <c r="O781" t="s">
        <v>167</v>
      </c>
      <c r="Q781" t="s">
        <v>167</v>
      </c>
      <c r="S781" t="s">
        <v>167</v>
      </c>
      <c r="U781" t="s">
        <v>167</v>
      </c>
      <c r="W781" t="s">
        <v>167</v>
      </c>
      <c r="Y781" t="s">
        <v>167</v>
      </c>
    </row>
    <row r="782">
      <c r="G782" t="s">
        <v>167</v>
      </c>
      <c r="I782" t="s">
        <v>167</v>
      </c>
      <c r="K782" t="s">
        <v>167</v>
      </c>
      <c r="M782" t="s">
        <v>167</v>
      </c>
      <c r="O782" t="s">
        <v>167</v>
      </c>
      <c r="Q782" t="s">
        <v>167</v>
      </c>
      <c r="S782" t="s">
        <v>167</v>
      </c>
      <c r="U782" t="s">
        <v>167</v>
      </c>
      <c r="W782" t="s">
        <v>167</v>
      </c>
      <c r="Y782" t="s">
        <v>167</v>
      </c>
    </row>
    <row r="783">
      <c r="G783" t="s">
        <v>167</v>
      </c>
      <c r="I783" t="s">
        <v>167</v>
      </c>
      <c r="K783" t="s">
        <v>167</v>
      </c>
      <c r="M783" t="s">
        <v>167</v>
      </c>
      <c r="O783" t="s">
        <v>167</v>
      </c>
      <c r="Q783" t="s">
        <v>167</v>
      </c>
      <c r="S783" t="s">
        <v>167</v>
      </c>
      <c r="U783" t="s">
        <v>167</v>
      </c>
      <c r="W783" t="s">
        <v>167</v>
      </c>
      <c r="Y783" t="s">
        <v>167</v>
      </c>
    </row>
    <row r="784">
      <c r="G784" t="s">
        <v>167</v>
      </c>
      <c r="I784" t="s">
        <v>167</v>
      </c>
      <c r="K784" t="s">
        <v>167</v>
      </c>
      <c r="M784" t="s">
        <v>167</v>
      </c>
      <c r="O784" t="s">
        <v>167</v>
      </c>
      <c r="Q784" t="s">
        <v>167</v>
      </c>
      <c r="S784" t="s">
        <v>167</v>
      </c>
      <c r="U784" t="s">
        <v>167</v>
      </c>
      <c r="W784" t="s">
        <v>167</v>
      </c>
      <c r="Y784" t="s">
        <v>167</v>
      </c>
    </row>
    <row r="785">
      <c r="G785" t="s">
        <v>167</v>
      </c>
      <c r="I785" t="s">
        <v>167</v>
      </c>
      <c r="K785" t="s">
        <v>167</v>
      </c>
      <c r="M785" t="s">
        <v>167</v>
      </c>
      <c r="O785" t="s">
        <v>167</v>
      </c>
      <c r="Q785" t="s">
        <v>167</v>
      </c>
      <c r="S785" t="s">
        <v>167</v>
      </c>
      <c r="U785" t="s">
        <v>167</v>
      </c>
      <c r="W785" t="s">
        <v>167</v>
      </c>
      <c r="Y785" t="s">
        <v>167</v>
      </c>
    </row>
    <row r="786">
      <c r="G786" t="s">
        <v>167</v>
      </c>
      <c r="I786" t="s">
        <v>167</v>
      </c>
      <c r="K786" t="s">
        <v>167</v>
      </c>
      <c r="M786" t="s">
        <v>167</v>
      </c>
      <c r="O786" t="s">
        <v>167</v>
      </c>
      <c r="Q786" t="s">
        <v>167</v>
      </c>
      <c r="S786" t="s">
        <v>167</v>
      </c>
      <c r="U786" t="s">
        <v>167</v>
      </c>
      <c r="W786" t="s">
        <v>167</v>
      </c>
      <c r="Y786" t="s">
        <v>167</v>
      </c>
    </row>
    <row r="787">
      <c r="G787" t="s">
        <v>167</v>
      </c>
      <c r="I787" t="s">
        <v>167</v>
      </c>
      <c r="K787" t="s">
        <v>167</v>
      </c>
      <c r="M787" t="s">
        <v>167</v>
      </c>
      <c r="O787" t="s">
        <v>167</v>
      </c>
      <c r="Q787" t="s">
        <v>167</v>
      </c>
      <c r="S787" t="s">
        <v>167</v>
      </c>
      <c r="U787" t="s">
        <v>167</v>
      </c>
      <c r="W787" t="s">
        <v>167</v>
      </c>
      <c r="Y787" t="s">
        <v>167</v>
      </c>
    </row>
    <row r="788">
      <c r="G788" t="s">
        <v>167</v>
      </c>
      <c r="I788" t="s">
        <v>167</v>
      </c>
      <c r="K788" t="s">
        <v>167</v>
      </c>
      <c r="M788" t="s">
        <v>167</v>
      </c>
      <c r="O788" t="s">
        <v>167</v>
      </c>
      <c r="Q788" t="s">
        <v>167</v>
      </c>
      <c r="S788" t="s">
        <v>167</v>
      </c>
      <c r="U788" t="s">
        <v>167</v>
      </c>
      <c r="W788" t="s">
        <v>167</v>
      </c>
      <c r="Y788" t="s">
        <v>167</v>
      </c>
    </row>
    <row r="789">
      <c r="G789" t="s">
        <v>167</v>
      </c>
      <c r="I789" t="s">
        <v>167</v>
      </c>
      <c r="K789" t="s">
        <v>167</v>
      </c>
      <c r="M789" t="s">
        <v>167</v>
      </c>
      <c r="O789" t="s">
        <v>167</v>
      </c>
      <c r="Q789" t="s">
        <v>167</v>
      </c>
      <c r="S789" t="s">
        <v>167</v>
      </c>
      <c r="U789" t="s">
        <v>167</v>
      </c>
      <c r="W789" t="s">
        <v>167</v>
      </c>
      <c r="Y789" t="s">
        <v>167</v>
      </c>
    </row>
    <row r="790">
      <c r="G790" t="s">
        <v>167</v>
      </c>
      <c r="I790" t="s">
        <v>167</v>
      </c>
      <c r="K790" t="s">
        <v>167</v>
      </c>
      <c r="M790" t="s">
        <v>167</v>
      </c>
      <c r="O790" t="s">
        <v>167</v>
      </c>
      <c r="Q790" t="s">
        <v>167</v>
      </c>
      <c r="S790" t="s">
        <v>167</v>
      </c>
      <c r="U790" t="s">
        <v>167</v>
      </c>
      <c r="W790" t="s">
        <v>167</v>
      </c>
      <c r="Y790" t="s">
        <v>167</v>
      </c>
    </row>
    <row r="791">
      <c r="G791" t="s">
        <v>167</v>
      </c>
      <c r="I791" t="s">
        <v>167</v>
      </c>
      <c r="K791" t="s">
        <v>167</v>
      </c>
      <c r="M791" t="s">
        <v>167</v>
      </c>
      <c r="O791" t="s">
        <v>167</v>
      </c>
      <c r="Q791" t="s">
        <v>167</v>
      </c>
      <c r="S791" t="s">
        <v>167</v>
      </c>
      <c r="U791" t="s">
        <v>167</v>
      </c>
      <c r="W791" t="s">
        <v>167</v>
      </c>
      <c r="Y791" t="s">
        <v>167</v>
      </c>
    </row>
    <row r="792">
      <c r="G792" t="s">
        <v>167</v>
      </c>
      <c r="I792" t="s">
        <v>167</v>
      </c>
      <c r="K792" t="s">
        <v>167</v>
      </c>
      <c r="M792" t="s">
        <v>167</v>
      </c>
      <c r="O792" t="s">
        <v>167</v>
      </c>
      <c r="Q792" t="s">
        <v>167</v>
      </c>
      <c r="S792" t="s">
        <v>167</v>
      </c>
      <c r="U792" t="s">
        <v>167</v>
      </c>
      <c r="W792" t="s">
        <v>167</v>
      </c>
      <c r="Y792" t="s">
        <v>167</v>
      </c>
    </row>
    <row r="793">
      <c r="G793" t="s">
        <v>167</v>
      </c>
      <c r="I793" t="s">
        <v>167</v>
      </c>
      <c r="K793" t="s">
        <v>167</v>
      </c>
      <c r="M793" t="s">
        <v>167</v>
      </c>
      <c r="O793" t="s">
        <v>167</v>
      </c>
      <c r="Q793" t="s">
        <v>167</v>
      </c>
      <c r="S793" t="s">
        <v>167</v>
      </c>
      <c r="U793" t="s">
        <v>167</v>
      </c>
      <c r="W793" t="s">
        <v>167</v>
      </c>
      <c r="Y793" t="s">
        <v>167</v>
      </c>
    </row>
    <row r="794">
      <c r="G794" t="s">
        <v>167</v>
      </c>
      <c r="I794" t="s">
        <v>167</v>
      </c>
      <c r="K794" t="s">
        <v>167</v>
      </c>
      <c r="M794" t="s">
        <v>167</v>
      </c>
      <c r="O794" t="s">
        <v>167</v>
      </c>
      <c r="Q794" t="s">
        <v>167</v>
      </c>
      <c r="S794" t="s">
        <v>167</v>
      </c>
      <c r="U794" t="s">
        <v>167</v>
      </c>
      <c r="W794" t="s">
        <v>167</v>
      </c>
      <c r="Y794" t="s">
        <v>167</v>
      </c>
    </row>
    <row r="795">
      <c r="G795" t="s">
        <v>167</v>
      </c>
      <c r="I795" t="s">
        <v>167</v>
      </c>
      <c r="K795" t="s">
        <v>167</v>
      </c>
      <c r="M795" t="s">
        <v>167</v>
      </c>
      <c r="O795" t="s">
        <v>167</v>
      </c>
      <c r="Q795" t="s">
        <v>167</v>
      </c>
      <c r="S795" t="s">
        <v>167</v>
      </c>
      <c r="U795" t="s">
        <v>167</v>
      </c>
      <c r="W795" t="s">
        <v>167</v>
      </c>
      <c r="Y795" t="s">
        <v>167</v>
      </c>
    </row>
    <row r="796">
      <c r="G796" t="s">
        <v>167</v>
      </c>
      <c r="I796" t="s">
        <v>167</v>
      </c>
      <c r="K796" t="s">
        <v>167</v>
      </c>
      <c r="M796" t="s">
        <v>167</v>
      </c>
      <c r="O796" t="s">
        <v>167</v>
      </c>
      <c r="Q796" t="s">
        <v>167</v>
      </c>
      <c r="S796" t="s">
        <v>167</v>
      </c>
      <c r="U796" t="s">
        <v>167</v>
      </c>
      <c r="W796" t="s">
        <v>167</v>
      </c>
      <c r="Y796" t="s">
        <v>167</v>
      </c>
    </row>
    <row r="797">
      <c r="G797" t="s">
        <v>167</v>
      </c>
      <c r="I797" t="s">
        <v>167</v>
      </c>
      <c r="K797" t="s">
        <v>167</v>
      </c>
      <c r="M797" t="s">
        <v>167</v>
      </c>
      <c r="O797" t="s">
        <v>167</v>
      </c>
      <c r="Q797" t="s">
        <v>167</v>
      </c>
      <c r="S797" t="s">
        <v>167</v>
      </c>
      <c r="U797" t="s">
        <v>167</v>
      </c>
      <c r="W797" t="s">
        <v>167</v>
      </c>
      <c r="Y797" t="s">
        <v>167</v>
      </c>
    </row>
    <row r="798">
      <c r="G798" t="s">
        <v>167</v>
      </c>
      <c r="I798" t="s">
        <v>167</v>
      </c>
      <c r="K798" t="s">
        <v>167</v>
      </c>
      <c r="M798" t="s">
        <v>167</v>
      </c>
      <c r="O798" t="s">
        <v>167</v>
      </c>
      <c r="Q798" t="s">
        <v>167</v>
      </c>
      <c r="S798" t="s">
        <v>167</v>
      </c>
      <c r="U798" t="s">
        <v>167</v>
      </c>
      <c r="W798" t="s">
        <v>167</v>
      </c>
      <c r="Y798" t="s">
        <v>167</v>
      </c>
    </row>
    <row r="799">
      <c r="G799" t="s">
        <v>167</v>
      </c>
      <c r="I799" t="s">
        <v>167</v>
      </c>
      <c r="K799" t="s">
        <v>167</v>
      </c>
      <c r="M799" t="s">
        <v>167</v>
      </c>
      <c r="O799" t="s">
        <v>167</v>
      </c>
      <c r="Q799" t="s">
        <v>167</v>
      </c>
      <c r="S799" t="s">
        <v>167</v>
      </c>
      <c r="U799" t="s">
        <v>167</v>
      </c>
      <c r="W799" t="s">
        <v>167</v>
      </c>
      <c r="Y799" t="s">
        <v>167</v>
      </c>
    </row>
    <row r="800">
      <c r="G800" t="s">
        <v>167</v>
      </c>
      <c r="I800" t="s">
        <v>167</v>
      </c>
      <c r="K800" t="s">
        <v>167</v>
      </c>
      <c r="M800" t="s">
        <v>167</v>
      </c>
      <c r="O800" t="s">
        <v>167</v>
      </c>
      <c r="Q800" t="s">
        <v>167</v>
      </c>
      <c r="S800" t="s">
        <v>167</v>
      </c>
      <c r="U800" t="s">
        <v>167</v>
      </c>
      <c r="W800" t="s">
        <v>167</v>
      </c>
      <c r="Y800" t="s">
        <v>167</v>
      </c>
    </row>
    <row r="801">
      <c r="G801" t="s">
        <v>167</v>
      </c>
      <c r="I801" t="s">
        <v>167</v>
      </c>
      <c r="K801" t="s">
        <v>167</v>
      </c>
      <c r="M801" t="s">
        <v>167</v>
      </c>
      <c r="O801" t="s">
        <v>167</v>
      </c>
      <c r="Q801" t="s">
        <v>167</v>
      </c>
      <c r="S801" t="s">
        <v>167</v>
      </c>
      <c r="U801" t="s">
        <v>167</v>
      </c>
      <c r="W801" t="s">
        <v>167</v>
      </c>
      <c r="Y801" t="s">
        <v>167</v>
      </c>
    </row>
    <row r="802">
      <c r="G802" t="s">
        <v>167</v>
      </c>
      <c r="I802" t="s">
        <v>167</v>
      </c>
      <c r="K802" t="s">
        <v>167</v>
      </c>
      <c r="M802" t="s">
        <v>167</v>
      </c>
      <c r="O802" t="s">
        <v>167</v>
      </c>
      <c r="Q802" t="s">
        <v>167</v>
      </c>
      <c r="S802" t="s">
        <v>167</v>
      </c>
      <c r="U802" t="s">
        <v>167</v>
      </c>
      <c r="W802" t="s">
        <v>167</v>
      </c>
      <c r="Y802" t="s">
        <v>167</v>
      </c>
    </row>
    <row r="803">
      <c r="G803" t="s">
        <v>167</v>
      </c>
      <c r="I803" t="s">
        <v>167</v>
      </c>
      <c r="K803" t="s">
        <v>167</v>
      </c>
      <c r="M803" t="s">
        <v>167</v>
      </c>
      <c r="O803" t="s">
        <v>167</v>
      </c>
      <c r="Q803" t="s">
        <v>167</v>
      </c>
      <c r="S803" t="s">
        <v>167</v>
      </c>
      <c r="U803" t="s">
        <v>167</v>
      </c>
      <c r="W803" t="s">
        <v>167</v>
      </c>
      <c r="Y803" t="s">
        <v>167</v>
      </c>
    </row>
    <row r="804">
      <c r="G804" t="s">
        <v>167</v>
      </c>
      <c r="I804" t="s">
        <v>167</v>
      </c>
      <c r="K804" t="s">
        <v>167</v>
      </c>
      <c r="M804" t="s">
        <v>167</v>
      </c>
      <c r="O804" t="s">
        <v>167</v>
      </c>
      <c r="Q804" t="s">
        <v>167</v>
      </c>
      <c r="S804" t="s">
        <v>167</v>
      </c>
      <c r="U804" t="s">
        <v>167</v>
      </c>
      <c r="W804" t="s">
        <v>167</v>
      </c>
      <c r="Y804" t="s">
        <v>167</v>
      </c>
    </row>
    <row r="805">
      <c r="G805" t="s">
        <v>167</v>
      </c>
      <c r="I805" t="s">
        <v>167</v>
      </c>
      <c r="K805" t="s">
        <v>167</v>
      </c>
      <c r="M805" t="s">
        <v>167</v>
      </c>
      <c r="O805" t="s">
        <v>167</v>
      </c>
      <c r="Q805" t="s">
        <v>167</v>
      </c>
      <c r="S805" t="s">
        <v>167</v>
      </c>
      <c r="U805" t="s">
        <v>167</v>
      </c>
      <c r="W805" t="s">
        <v>167</v>
      </c>
      <c r="Y805" t="s">
        <v>167</v>
      </c>
    </row>
    <row r="806">
      <c r="G806" t="s">
        <v>167</v>
      </c>
      <c r="I806" t="s">
        <v>167</v>
      </c>
      <c r="K806" t="s">
        <v>167</v>
      </c>
      <c r="M806" t="s">
        <v>167</v>
      </c>
      <c r="O806" t="s">
        <v>167</v>
      </c>
      <c r="Q806" t="s">
        <v>167</v>
      </c>
      <c r="S806" t="s">
        <v>167</v>
      </c>
      <c r="U806" t="s">
        <v>167</v>
      </c>
      <c r="W806" t="s">
        <v>167</v>
      </c>
      <c r="Y806" t="s">
        <v>167</v>
      </c>
    </row>
    <row r="807">
      <c r="G807" t="s">
        <v>167</v>
      </c>
      <c r="I807" t="s">
        <v>167</v>
      </c>
      <c r="K807" t="s">
        <v>167</v>
      </c>
      <c r="M807" t="s">
        <v>167</v>
      </c>
      <c r="O807" t="s">
        <v>167</v>
      </c>
      <c r="Q807" t="s">
        <v>167</v>
      </c>
      <c r="S807" t="s">
        <v>167</v>
      </c>
      <c r="U807" t="s">
        <v>167</v>
      </c>
      <c r="W807" t="s">
        <v>167</v>
      </c>
      <c r="Y807" t="s">
        <v>167</v>
      </c>
    </row>
    <row r="808">
      <c r="G808" t="s">
        <v>167</v>
      </c>
      <c r="I808" t="s">
        <v>167</v>
      </c>
      <c r="K808" t="s">
        <v>167</v>
      </c>
      <c r="M808" t="s">
        <v>167</v>
      </c>
      <c r="O808" t="s">
        <v>167</v>
      </c>
      <c r="Q808" t="s">
        <v>167</v>
      </c>
      <c r="S808" t="s">
        <v>167</v>
      </c>
      <c r="U808" t="s">
        <v>167</v>
      </c>
      <c r="W808" t="s">
        <v>167</v>
      </c>
      <c r="Y808" t="s">
        <v>167</v>
      </c>
    </row>
    <row r="809">
      <c r="G809" t="s">
        <v>167</v>
      </c>
      <c r="I809" t="s">
        <v>167</v>
      </c>
      <c r="K809" t="s">
        <v>167</v>
      </c>
      <c r="M809" t="s">
        <v>167</v>
      </c>
      <c r="O809" t="s">
        <v>167</v>
      </c>
      <c r="Q809" t="s">
        <v>167</v>
      </c>
      <c r="S809" t="s">
        <v>167</v>
      </c>
      <c r="U809" t="s">
        <v>167</v>
      </c>
      <c r="W809" t="s">
        <v>167</v>
      </c>
      <c r="Y809" t="s">
        <v>167</v>
      </c>
    </row>
    <row r="810">
      <c r="G810" t="s">
        <v>167</v>
      </c>
      <c r="I810" t="s">
        <v>167</v>
      </c>
      <c r="K810" t="s">
        <v>167</v>
      </c>
      <c r="M810" t="s">
        <v>167</v>
      </c>
      <c r="O810" t="s">
        <v>167</v>
      </c>
      <c r="Q810" t="s">
        <v>167</v>
      </c>
      <c r="S810" t="s">
        <v>167</v>
      </c>
      <c r="U810" t="s">
        <v>167</v>
      </c>
      <c r="W810" t="s">
        <v>167</v>
      </c>
      <c r="Y810" t="s">
        <v>167</v>
      </c>
    </row>
    <row r="811">
      <c r="G811" t="s">
        <v>167</v>
      </c>
      <c r="I811" t="s">
        <v>167</v>
      </c>
      <c r="K811" t="s">
        <v>167</v>
      </c>
      <c r="M811" t="s">
        <v>167</v>
      </c>
      <c r="O811" t="s">
        <v>167</v>
      </c>
      <c r="Q811" t="s">
        <v>167</v>
      </c>
      <c r="S811" t="s">
        <v>167</v>
      </c>
      <c r="U811" t="s">
        <v>167</v>
      </c>
      <c r="W811" t="s">
        <v>167</v>
      </c>
      <c r="Y811" t="s">
        <v>167</v>
      </c>
    </row>
    <row r="812">
      <c r="G812" t="s">
        <v>167</v>
      </c>
      <c r="I812" t="s">
        <v>167</v>
      </c>
      <c r="K812" t="s">
        <v>167</v>
      </c>
      <c r="M812" t="s">
        <v>167</v>
      </c>
      <c r="O812" t="s">
        <v>167</v>
      </c>
      <c r="Q812" t="s">
        <v>167</v>
      </c>
      <c r="S812" t="s">
        <v>167</v>
      </c>
      <c r="U812" t="s">
        <v>167</v>
      </c>
      <c r="W812" t="s">
        <v>167</v>
      </c>
      <c r="Y812" t="s">
        <v>167</v>
      </c>
    </row>
    <row r="813">
      <c r="G813" t="s">
        <v>167</v>
      </c>
      <c r="I813" t="s">
        <v>167</v>
      </c>
      <c r="K813" t="s">
        <v>167</v>
      </c>
      <c r="M813" t="s">
        <v>167</v>
      </c>
      <c r="O813" t="s">
        <v>167</v>
      </c>
      <c r="Q813" t="s">
        <v>167</v>
      </c>
      <c r="S813" t="s">
        <v>167</v>
      </c>
      <c r="U813" t="s">
        <v>167</v>
      </c>
      <c r="W813" t="s">
        <v>167</v>
      </c>
      <c r="Y813" t="s">
        <v>167</v>
      </c>
    </row>
    <row r="814">
      <c r="G814" t="s">
        <v>167</v>
      </c>
      <c r="I814" t="s">
        <v>167</v>
      </c>
      <c r="K814" t="s">
        <v>167</v>
      </c>
      <c r="M814" t="s">
        <v>167</v>
      </c>
      <c r="O814" t="s">
        <v>167</v>
      </c>
      <c r="Q814" t="s">
        <v>167</v>
      </c>
      <c r="S814" t="s">
        <v>167</v>
      </c>
      <c r="U814" t="s">
        <v>167</v>
      </c>
      <c r="W814" t="s">
        <v>167</v>
      </c>
      <c r="Y814" t="s">
        <v>167</v>
      </c>
    </row>
    <row r="815">
      <c r="G815" t="s">
        <v>167</v>
      </c>
      <c r="I815" t="s">
        <v>167</v>
      </c>
      <c r="K815" t="s">
        <v>167</v>
      </c>
      <c r="M815" t="s">
        <v>167</v>
      </c>
      <c r="O815" t="s">
        <v>167</v>
      </c>
      <c r="Q815" t="s">
        <v>167</v>
      </c>
      <c r="S815" t="s">
        <v>167</v>
      </c>
      <c r="U815" t="s">
        <v>167</v>
      </c>
      <c r="W815" t="s">
        <v>167</v>
      </c>
      <c r="Y815" t="s">
        <v>167</v>
      </c>
    </row>
    <row r="816">
      <c r="G816" t="s">
        <v>167</v>
      </c>
      <c r="I816" t="s">
        <v>167</v>
      </c>
      <c r="K816" t="s">
        <v>167</v>
      </c>
      <c r="M816" t="s">
        <v>167</v>
      </c>
      <c r="O816" t="s">
        <v>167</v>
      </c>
      <c r="Q816" t="s">
        <v>167</v>
      </c>
      <c r="S816" t="s">
        <v>167</v>
      </c>
      <c r="U816" t="s">
        <v>167</v>
      </c>
      <c r="W816" t="s">
        <v>167</v>
      </c>
      <c r="Y816" t="s">
        <v>167</v>
      </c>
    </row>
    <row r="817">
      <c r="G817" t="s">
        <v>167</v>
      </c>
      <c r="I817" t="s">
        <v>167</v>
      </c>
      <c r="K817" t="s">
        <v>167</v>
      </c>
      <c r="M817" t="s">
        <v>167</v>
      </c>
      <c r="O817" t="s">
        <v>167</v>
      </c>
      <c r="Q817" t="s">
        <v>167</v>
      </c>
      <c r="S817" t="s">
        <v>167</v>
      </c>
      <c r="U817" t="s">
        <v>167</v>
      </c>
      <c r="W817" t="s">
        <v>167</v>
      </c>
      <c r="Y817" t="s">
        <v>167</v>
      </c>
    </row>
    <row r="818">
      <c r="G818" t="s">
        <v>167</v>
      </c>
      <c r="I818" t="s">
        <v>167</v>
      </c>
      <c r="K818" t="s">
        <v>167</v>
      </c>
      <c r="M818" t="s">
        <v>167</v>
      </c>
      <c r="O818" t="s">
        <v>167</v>
      </c>
      <c r="Q818" t="s">
        <v>167</v>
      </c>
      <c r="S818" t="s">
        <v>167</v>
      </c>
      <c r="U818" t="s">
        <v>167</v>
      </c>
      <c r="W818" t="s">
        <v>167</v>
      </c>
      <c r="Y818" t="s">
        <v>167</v>
      </c>
    </row>
    <row r="819">
      <c r="G819" t="s">
        <v>167</v>
      </c>
      <c r="I819" t="s">
        <v>167</v>
      </c>
      <c r="K819" t="s">
        <v>167</v>
      </c>
      <c r="M819" t="s">
        <v>167</v>
      </c>
      <c r="O819" t="s">
        <v>167</v>
      </c>
      <c r="Q819" t="s">
        <v>167</v>
      </c>
      <c r="S819" t="s">
        <v>167</v>
      </c>
      <c r="U819" t="s">
        <v>167</v>
      </c>
      <c r="W819" t="s">
        <v>167</v>
      </c>
      <c r="Y819" t="s">
        <v>167</v>
      </c>
    </row>
    <row r="820">
      <c r="G820" t="s">
        <v>167</v>
      </c>
      <c r="I820" t="s">
        <v>167</v>
      </c>
      <c r="K820" t="s">
        <v>167</v>
      </c>
      <c r="M820" t="s">
        <v>167</v>
      </c>
      <c r="O820" t="s">
        <v>167</v>
      </c>
      <c r="Q820" t="s">
        <v>167</v>
      </c>
      <c r="S820" t="s">
        <v>167</v>
      </c>
      <c r="U820" t="s">
        <v>167</v>
      </c>
      <c r="W820" t="s">
        <v>167</v>
      </c>
      <c r="Y820" t="s">
        <v>167</v>
      </c>
    </row>
    <row r="821">
      <c r="G821" t="s">
        <v>167</v>
      </c>
      <c r="I821" t="s">
        <v>167</v>
      </c>
      <c r="K821" t="s">
        <v>167</v>
      </c>
      <c r="M821" t="s">
        <v>167</v>
      </c>
      <c r="O821" t="s">
        <v>167</v>
      </c>
      <c r="Q821" t="s">
        <v>167</v>
      </c>
      <c r="S821" t="s">
        <v>167</v>
      </c>
      <c r="U821" t="s">
        <v>167</v>
      </c>
      <c r="W821" t="s">
        <v>167</v>
      </c>
      <c r="Y821" t="s">
        <v>167</v>
      </c>
    </row>
    <row r="822">
      <c r="G822" t="s">
        <v>167</v>
      </c>
      <c r="I822" t="s">
        <v>167</v>
      </c>
      <c r="K822" t="s">
        <v>167</v>
      </c>
      <c r="M822" t="s">
        <v>167</v>
      </c>
      <c r="O822" t="s">
        <v>167</v>
      </c>
      <c r="Q822" t="s">
        <v>167</v>
      </c>
      <c r="S822" t="s">
        <v>167</v>
      </c>
      <c r="U822" t="s">
        <v>167</v>
      </c>
      <c r="W822" t="s">
        <v>167</v>
      </c>
      <c r="Y822" t="s">
        <v>167</v>
      </c>
    </row>
    <row r="823">
      <c r="G823" t="s">
        <v>167</v>
      </c>
      <c r="I823" t="s">
        <v>167</v>
      </c>
      <c r="K823" t="s">
        <v>167</v>
      </c>
      <c r="M823" t="s">
        <v>167</v>
      </c>
      <c r="O823" t="s">
        <v>167</v>
      </c>
      <c r="Q823" t="s">
        <v>167</v>
      </c>
      <c r="S823" t="s">
        <v>167</v>
      </c>
      <c r="U823" t="s">
        <v>167</v>
      </c>
      <c r="W823" t="s">
        <v>167</v>
      </c>
      <c r="Y823" t="s">
        <v>167</v>
      </c>
    </row>
    <row r="824">
      <c r="G824" t="s">
        <v>167</v>
      </c>
      <c r="I824" t="s">
        <v>167</v>
      </c>
      <c r="K824" t="s">
        <v>167</v>
      </c>
      <c r="M824" t="s">
        <v>167</v>
      </c>
      <c r="O824" t="s">
        <v>167</v>
      </c>
      <c r="Q824" t="s">
        <v>167</v>
      </c>
      <c r="S824" t="s">
        <v>167</v>
      </c>
      <c r="U824" t="s">
        <v>167</v>
      </c>
      <c r="W824" t="s">
        <v>167</v>
      </c>
      <c r="Y824" t="s">
        <v>167</v>
      </c>
    </row>
    <row r="825">
      <c r="G825" t="s">
        <v>167</v>
      </c>
      <c r="I825" t="s">
        <v>167</v>
      </c>
      <c r="K825" t="s">
        <v>167</v>
      </c>
      <c r="M825" t="s">
        <v>167</v>
      </c>
      <c r="O825" t="s">
        <v>167</v>
      </c>
      <c r="Q825" t="s">
        <v>167</v>
      </c>
      <c r="S825" t="s">
        <v>167</v>
      </c>
      <c r="U825" t="s">
        <v>167</v>
      </c>
      <c r="W825" t="s">
        <v>167</v>
      </c>
      <c r="Y825" t="s">
        <v>167</v>
      </c>
    </row>
    <row r="826">
      <c r="G826" t="s">
        <v>167</v>
      </c>
      <c r="I826" t="s">
        <v>167</v>
      </c>
      <c r="K826" t="s">
        <v>167</v>
      </c>
      <c r="M826" t="s">
        <v>167</v>
      </c>
      <c r="O826" t="s">
        <v>167</v>
      </c>
      <c r="Q826" t="s">
        <v>167</v>
      </c>
      <c r="S826" t="s">
        <v>167</v>
      </c>
      <c r="U826" t="s">
        <v>167</v>
      </c>
      <c r="W826" t="s">
        <v>167</v>
      </c>
      <c r="Y826" t="s">
        <v>167</v>
      </c>
    </row>
    <row r="827">
      <c r="G827" t="s">
        <v>167</v>
      </c>
      <c r="I827" t="s">
        <v>167</v>
      </c>
      <c r="K827" t="s">
        <v>167</v>
      </c>
      <c r="M827" t="s">
        <v>167</v>
      </c>
      <c r="O827" t="s">
        <v>167</v>
      </c>
      <c r="Q827" t="s">
        <v>167</v>
      </c>
      <c r="S827" t="s">
        <v>167</v>
      </c>
      <c r="U827" t="s">
        <v>167</v>
      </c>
      <c r="W827" t="s">
        <v>167</v>
      </c>
      <c r="Y827" t="s">
        <v>167</v>
      </c>
    </row>
    <row r="828">
      <c r="G828" t="s">
        <v>167</v>
      </c>
      <c r="I828" t="s">
        <v>167</v>
      </c>
      <c r="K828" t="s">
        <v>167</v>
      </c>
      <c r="M828" t="s">
        <v>167</v>
      </c>
      <c r="O828" t="s">
        <v>167</v>
      </c>
      <c r="Q828" t="s">
        <v>167</v>
      </c>
      <c r="S828" t="s">
        <v>167</v>
      </c>
      <c r="U828" t="s">
        <v>167</v>
      </c>
      <c r="W828" t="s">
        <v>167</v>
      </c>
      <c r="Y828" t="s">
        <v>167</v>
      </c>
    </row>
    <row r="829">
      <c r="G829" t="s">
        <v>167</v>
      </c>
      <c r="I829" t="s">
        <v>167</v>
      </c>
      <c r="K829" t="s">
        <v>167</v>
      </c>
      <c r="M829" t="s">
        <v>167</v>
      </c>
      <c r="O829" t="s">
        <v>167</v>
      </c>
      <c r="Q829" t="s">
        <v>167</v>
      </c>
      <c r="S829" t="s">
        <v>167</v>
      </c>
      <c r="U829" t="s">
        <v>167</v>
      </c>
      <c r="W829" t="s">
        <v>167</v>
      </c>
      <c r="Y829" t="s">
        <v>167</v>
      </c>
    </row>
    <row r="830">
      <c r="G830" t="s">
        <v>167</v>
      </c>
      <c r="I830" t="s">
        <v>167</v>
      </c>
      <c r="K830" t="s">
        <v>167</v>
      </c>
      <c r="M830" t="s">
        <v>167</v>
      </c>
      <c r="O830" t="s">
        <v>167</v>
      </c>
      <c r="Q830" t="s">
        <v>167</v>
      </c>
      <c r="S830" t="s">
        <v>167</v>
      </c>
      <c r="U830" t="s">
        <v>167</v>
      </c>
      <c r="W830" t="s">
        <v>167</v>
      </c>
      <c r="Y830" t="s">
        <v>167</v>
      </c>
    </row>
    <row r="831">
      <c r="G831" t="s">
        <v>167</v>
      </c>
      <c r="I831" t="s">
        <v>167</v>
      </c>
      <c r="K831" t="s">
        <v>167</v>
      </c>
      <c r="M831" t="s">
        <v>167</v>
      </c>
      <c r="O831" t="s">
        <v>167</v>
      </c>
      <c r="Q831" t="s">
        <v>167</v>
      </c>
      <c r="S831" t="s">
        <v>167</v>
      </c>
      <c r="U831" t="s">
        <v>167</v>
      </c>
      <c r="W831" t="s">
        <v>167</v>
      </c>
      <c r="Y831" t="s">
        <v>167</v>
      </c>
    </row>
    <row r="832">
      <c r="G832" t="s">
        <v>167</v>
      </c>
      <c r="I832" t="s">
        <v>167</v>
      </c>
      <c r="K832" t="s">
        <v>167</v>
      </c>
      <c r="M832" t="s">
        <v>167</v>
      </c>
      <c r="O832" t="s">
        <v>167</v>
      </c>
      <c r="Q832" t="s">
        <v>167</v>
      </c>
      <c r="S832" t="s">
        <v>167</v>
      </c>
      <c r="U832" t="s">
        <v>167</v>
      </c>
      <c r="W832" t="s">
        <v>167</v>
      </c>
      <c r="Y832" t="s">
        <v>167</v>
      </c>
    </row>
    <row r="833">
      <c r="G833" t="s">
        <v>167</v>
      </c>
      <c r="I833" t="s">
        <v>167</v>
      </c>
      <c r="K833" t="s">
        <v>167</v>
      </c>
      <c r="M833" t="s">
        <v>167</v>
      </c>
      <c r="O833" t="s">
        <v>167</v>
      </c>
      <c r="Q833" t="s">
        <v>167</v>
      </c>
      <c r="S833" t="s">
        <v>167</v>
      </c>
      <c r="U833" t="s">
        <v>167</v>
      </c>
      <c r="W833" t="s">
        <v>167</v>
      </c>
      <c r="Y833" t="s">
        <v>167</v>
      </c>
    </row>
    <row r="834">
      <c r="G834" t="s">
        <v>167</v>
      </c>
      <c r="I834" t="s">
        <v>167</v>
      </c>
      <c r="K834" t="s">
        <v>167</v>
      </c>
      <c r="M834" t="s">
        <v>167</v>
      </c>
      <c r="O834" t="s">
        <v>167</v>
      </c>
      <c r="Q834" t="s">
        <v>167</v>
      </c>
      <c r="S834" t="s">
        <v>167</v>
      </c>
      <c r="U834" t="s">
        <v>167</v>
      </c>
      <c r="W834" t="s">
        <v>167</v>
      </c>
      <c r="Y834" t="s">
        <v>167</v>
      </c>
    </row>
    <row r="835">
      <c r="G835" t="s">
        <v>167</v>
      </c>
      <c r="I835" t="s">
        <v>167</v>
      </c>
      <c r="K835" t="s">
        <v>167</v>
      </c>
      <c r="M835" t="s">
        <v>167</v>
      </c>
      <c r="O835" t="s">
        <v>167</v>
      </c>
      <c r="Q835" t="s">
        <v>167</v>
      </c>
      <c r="S835" t="s">
        <v>167</v>
      </c>
      <c r="U835" t="s">
        <v>167</v>
      </c>
      <c r="W835" t="s">
        <v>167</v>
      </c>
      <c r="Y835" t="s">
        <v>167</v>
      </c>
    </row>
    <row r="836">
      <c r="G836" t="s">
        <v>167</v>
      </c>
      <c r="I836" t="s">
        <v>167</v>
      </c>
      <c r="K836" t="s">
        <v>167</v>
      </c>
      <c r="M836" t="s">
        <v>167</v>
      </c>
      <c r="O836" t="s">
        <v>167</v>
      </c>
      <c r="Q836" t="s">
        <v>167</v>
      </c>
      <c r="S836" t="s">
        <v>167</v>
      </c>
      <c r="U836" t="s">
        <v>167</v>
      </c>
      <c r="W836" t="s">
        <v>167</v>
      </c>
      <c r="Y836" t="s">
        <v>167</v>
      </c>
    </row>
    <row r="837">
      <c r="G837" t="s">
        <v>167</v>
      </c>
      <c r="I837" t="s">
        <v>167</v>
      </c>
      <c r="K837" t="s">
        <v>167</v>
      </c>
      <c r="M837" t="s">
        <v>167</v>
      </c>
      <c r="O837" t="s">
        <v>167</v>
      </c>
      <c r="Q837" t="s">
        <v>167</v>
      </c>
      <c r="S837" t="s">
        <v>167</v>
      </c>
      <c r="U837" t="s">
        <v>167</v>
      </c>
      <c r="W837" t="s">
        <v>167</v>
      </c>
      <c r="Y837" t="s">
        <v>167</v>
      </c>
    </row>
    <row r="838">
      <c r="G838" t="s">
        <v>167</v>
      </c>
      <c r="I838" t="s">
        <v>167</v>
      </c>
      <c r="K838" t="s">
        <v>167</v>
      </c>
      <c r="M838" t="s">
        <v>167</v>
      </c>
      <c r="O838" t="s">
        <v>167</v>
      </c>
      <c r="Q838" t="s">
        <v>167</v>
      </c>
      <c r="S838" t="s">
        <v>167</v>
      </c>
      <c r="U838" t="s">
        <v>167</v>
      </c>
      <c r="W838" t="s">
        <v>167</v>
      </c>
      <c r="Y838" t="s">
        <v>167</v>
      </c>
    </row>
    <row r="839">
      <c r="G839" t="s">
        <v>167</v>
      </c>
      <c r="I839" t="s">
        <v>167</v>
      </c>
      <c r="K839" t="s">
        <v>167</v>
      </c>
      <c r="M839" t="s">
        <v>167</v>
      </c>
      <c r="O839" t="s">
        <v>167</v>
      </c>
      <c r="Q839" t="s">
        <v>167</v>
      </c>
      <c r="S839" t="s">
        <v>167</v>
      </c>
      <c r="U839" t="s">
        <v>167</v>
      </c>
      <c r="W839" t="s">
        <v>167</v>
      </c>
      <c r="Y839" t="s">
        <v>167</v>
      </c>
    </row>
    <row r="840">
      <c r="G840" t="s">
        <v>167</v>
      </c>
      <c r="I840" t="s">
        <v>167</v>
      </c>
      <c r="K840" t="s">
        <v>167</v>
      </c>
      <c r="M840" t="s">
        <v>167</v>
      </c>
      <c r="O840" t="s">
        <v>167</v>
      </c>
      <c r="Q840" t="s">
        <v>167</v>
      </c>
      <c r="S840" t="s">
        <v>167</v>
      </c>
      <c r="U840" t="s">
        <v>167</v>
      </c>
      <c r="W840" t="s">
        <v>167</v>
      </c>
      <c r="Y840" t="s">
        <v>167</v>
      </c>
    </row>
    <row r="841">
      <c r="G841" t="s">
        <v>167</v>
      </c>
      <c r="I841" t="s">
        <v>167</v>
      </c>
      <c r="K841" t="s">
        <v>167</v>
      </c>
      <c r="M841" t="s">
        <v>167</v>
      </c>
      <c r="O841" t="s">
        <v>167</v>
      </c>
      <c r="Q841" t="s">
        <v>167</v>
      </c>
      <c r="S841" t="s">
        <v>167</v>
      </c>
      <c r="U841" t="s">
        <v>167</v>
      </c>
      <c r="W841" t="s">
        <v>167</v>
      </c>
      <c r="Y841" t="s">
        <v>167</v>
      </c>
    </row>
    <row r="842">
      <c r="G842" t="s">
        <v>167</v>
      </c>
      <c r="I842" t="s">
        <v>167</v>
      </c>
      <c r="K842" t="s">
        <v>167</v>
      </c>
      <c r="M842" t="s">
        <v>167</v>
      </c>
      <c r="O842" t="s">
        <v>167</v>
      </c>
      <c r="Q842" t="s">
        <v>167</v>
      </c>
      <c r="S842" t="s">
        <v>167</v>
      </c>
      <c r="U842" t="s">
        <v>167</v>
      </c>
      <c r="W842" t="s">
        <v>167</v>
      </c>
      <c r="Y842" t="s">
        <v>167</v>
      </c>
    </row>
    <row r="843">
      <c r="G843" t="s">
        <v>167</v>
      </c>
      <c r="I843" t="s">
        <v>167</v>
      </c>
      <c r="K843" t="s">
        <v>167</v>
      </c>
      <c r="M843" t="s">
        <v>167</v>
      </c>
      <c r="O843" t="s">
        <v>167</v>
      </c>
      <c r="Q843" t="s">
        <v>167</v>
      </c>
      <c r="S843" t="s">
        <v>167</v>
      </c>
      <c r="U843" t="s">
        <v>167</v>
      </c>
      <c r="W843" t="s">
        <v>167</v>
      </c>
      <c r="Y843" t="s">
        <v>167</v>
      </c>
    </row>
    <row r="844">
      <c r="G844" t="s">
        <v>167</v>
      </c>
      <c r="I844" t="s">
        <v>167</v>
      </c>
      <c r="K844" t="s">
        <v>167</v>
      </c>
      <c r="M844" t="s">
        <v>167</v>
      </c>
      <c r="O844" t="s">
        <v>167</v>
      </c>
      <c r="Q844" t="s">
        <v>167</v>
      </c>
      <c r="S844" t="s">
        <v>167</v>
      </c>
      <c r="U844" t="s">
        <v>167</v>
      </c>
      <c r="W844" t="s">
        <v>167</v>
      </c>
      <c r="Y844" t="s">
        <v>167</v>
      </c>
    </row>
    <row r="845">
      <c r="G845" t="s">
        <v>167</v>
      </c>
      <c r="I845" t="s">
        <v>167</v>
      </c>
      <c r="K845" t="s">
        <v>167</v>
      </c>
      <c r="M845" t="s">
        <v>167</v>
      </c>
      <c r="O845" t="s">
        <v>167</v>
      </c>
      <c r="Q845" t="s">
        <v>167</v>
      </c>
      <c r="S845" t="s">
        <v>167</v>
      </c>
      <c r="U845" t="s">
        <v>167</v>
      </c>
      <c r="W845" t="s">
        <v>167</v>
      </c>
      <c r="Y845" t="s">
        <v>167</v>
      </c>
    </row>
    <row r="846">
      <c r="G846" t="s">
        <v>167</v>
      </c>
      <c r="I846" t="s">
        <v>167</v>
      </c>
      <c r="K846" t="s">
        <v>167</v>
      </c>
      <c r="M846" t="s">
        <v>167</v>
      </c>
      <c r="O846" t="s">
        <v>167</v>
      </c>
      <c r="Q846" t="s">
        <v>167</v>
      </c>
      <c r="S846" t="s">
        <v>167</v>
      </c>
      <c r="U846" t="s">
        <v>167</v>
      </c>
      <c r="W846" t="s">
        <v>167</v>
      </c>
      <c r="Y846" t="s">
        <v>167</v>
      </c>
    </row>
    <row r="847">
      <c r="G847" t="s">
        <v>167</v>
      </c>
      <c r="I847" t="s">
        <v>167</v>
      </c>
      <c r="K847" t="s">
        <v>167</v>
      </c>
      <c r="M847" t="s">
        <v>167</v>
      </c>
      <c r="O847" t="s">
        <v>167</v>
      </c>
      <c r="Q847" t="s">
        <v>167</v>
      </c>
      <c r="S847" t="s">
        <v>167</v>
      </c>
      <c r="U847" t="s">
        <v>167</v>
      </c>
      <c r="W847" t="s">
        <v>167</v>
      </c>
      <c r="Y847" t="s">
        <v>167</v>
      </c>
    </row>
    <row r="848">
      <c r="G848" t="s">
        <v>167</v>
      </c>
      <c r="I848" t="s">
        <v>167</v>
      </c>
      <c r="K848" t="s">
        <v>167</v>
      </c>
      <c r="M848" t="s">
        <v>167</v>
      </c>
      <c r="O848" t="s">
        <v>167</v>
      </c>
      <c r="Q848" t="s">
        <v>167</v>
      </c>
      <c r="S848" t="s">
        <v>167</v>
      </c>
      <c r="U848" t="s">
        <v>167</v>
      </c>
      <c r="W848" t="s">
        <v>167</v>
      </c>
      <c r="Y848" t="s">
        <v>167</v>
      </c>
    </row>
    <row r="849">
      <c r="G849" t="s">
        <v>167</v>
      </c>
      <c r="I849" t="s">
        <v>167</v>
      </c>
      <c r="K849" t="s">
        <v>167</v>
      </c>
      <c r="M849" t="s">
        <v>167</v>
      </c>
      <c r="O849" t="s">
        <v>167</v>
      </c>
      <c r="Q849" t="s">
        <v>167</v>
      </c>
      <c r="S849" t="s">
        <v>167</v>
      </c>
      <c r="U849" t="s">
        <v>167</v>
      </c>
      <c r="W849" t="s">
        <v>167</v>
      </c>
      <c r="Y849" t="s">
        <v>167</v>
      </c>
    </row>
    <row r="850">
      <c r="G850" t="s">
        <v>167</v>
      </c>
      <c r="I850" t="s">
        <v>167</v>
      </c>
      <c r="K850" t="s">
        <v>167</v>
      </c>
      <c r="M850" t="s">
        <v>167</v>
      </c>
      <c r="O850" t="s">
        <v>167</v>
      </c>
      <c r="Q850" t="s">
        <v>167</v>
      </c>
      <c r="S850" t="s">
        <v>167</v>
      </c>
      <c r="U850" t="s">
        <v>167</v>
      </c>
      <c r="W850" t="s">
        <v>167</v>
      </c>
      <c r="Y850" t="s">
        <v>167</v>
      </c>
    </row>
    <row r="851">
      <c r="G851" t="s">
        <v>167</v>
      </c>
      <c r="I851" t="s">
        <v>167</v>
      </c>
      <c r="K851" t="s">
        <v>167</v>
      </c>
      <c r="M851" t="s">
        <v>167</v>
      </c>
      <c r="O851" t="s">
        <v>167</v>
      </c>
      <c r="Q851" t="s">
        <v>167</v>
      </c>
      <c r="S851" t="s">
        <v>167</v>
      </c>
      <c r="U851" t="s">
        <v>167</v>
      </c>
      <c r="W851" t="s">
        <v>167</v>
      </c>
      <c r="Y851" t="s">
        <v>167</v>
      </c>
    </row>
    <row r="852">
      <c r="G852" t="s">
        <v>167</v>
      </c>
      <c r="I852" t="s">
        <v>167</v>
      </c>
      <c r="K852" t="s">
        <v>167</v>
      </c>
      <c r="M852" t="s">
        <v>167</v>
      </c>
      <c r="O852" t="s">
        <v>167</v>
      </c>
      <c r="Q852" t="s">
        <v>167</v>
      </c>
      <c r="S852" t="s">
        <v>167</v>
      </c>
      <c r="U852" t="s">
        <v>167</v>
      </c>
      <c r="W852" t="s">
        <v>167</v>
      </c>
      <c r="Y852" t="s">
        <v>167</v>
      </c>
    </row>
    <row r="853">
      <c r="G853" t="s">
        <v>167</v>
      </c>
      <c r="I853" t="s">
        <v>167</v>
      </c>
      <c r="K853" t="s">
        <v>167</v>
      </c>
      <c r="M853" t="s">
        <v>167</v>
      </c>
      <c r="O853" t="s">
        <v>167</v>
      </c>
      <c r="Q853" t="s">
        <v>167</v>
      </c>
      <c r="S853" t="s">
        <v>167</v>
      </c>
      <c r="U853" t="s">
        <v>167</v>
      </c>
      <c r="W853" t="s">
        <v>167</v>
      </c>
      <c r="Y853" t="s">
        <v>167</v>
      </c>
    </row>
    <row r="854">
      <c r="G854" t="s">
        <v>167</v>
      </c>
      <c r="I854" t="s">
        <v>167</v>
      </c>
      <c r="K854" t="s">
        <v>167</v>
      </c>
      <c r="M854" t="s">
        <v>167</v>
      </c>
      <c r="O854" t="s">
        <v>167</v>
      </c>
      <c r="Q854" t="s">
        <v>167</v>
      </c>
      <c r="S854" t="s">
        <v>167</v>
      </c>
      <c r="U854" t="s">
        <v>167</v>
      </c>
      <c r="W854" t="s">
        <v>167</v>
      </c>
      <c r="Y854" t="s">
        <v>167</v>
      </c>
    </row>
    <row r="855">
      <c r="G855" t="s">
        <v>167</v>
      </c>
      <c r="I855" t="s">
        <v>167</v>
      </c>
      <c r="K855" t="s">
        <v>167</v>
      </c>
      <c r="M855" t="s">
        <v>167</v>
      </c>
      <c r="O855" t="s">
        <v>167</v>
      </c>
      <c r="Q855" t="s">
        <v>167</v>
      </c>
      <c r="S855" t="s">
        <v>167</v>
      </c>
      <c r="U855" t="s">
        <v>167</v>
      </c>
      <c r="W855" t="s">
        <v>167</v>
      </c>
      <c r="Y855" t="s">
        <v>167</v>
      </c>
    </row>
    <row r="856">
      <c r="G856" t="s">
        <v>167</v>
      </c>
      <c r="I856" t="s">
        <v>167</v>
      </c>
      <c r="K856" t="s">
        <v>167</v>
      </c>
      <c r="M856" t="s">
        <v>167</v>
      </c>
      <c r="O856" t="s">
        <v>167</v>
      </c>
      <c r="Q856" t="s">
        <v>167</v>
      </c>
      <c r="S856" t="s">
        <v>167</v>
      </c>
      <c r="U856" t="s">
        <v>167</v>
      </c>
      <c r="W856" t="s">
        <v>167</v>
      </c>
      <c r="Y856" t="s">
        <v>167</v>
      </c>
    </row>
    <row r="857">
      <c r="G857" t="s">
        <v>167</v>
      </c>
      <c r="I857" t="s">
        <v>167</v>
      </c>
      <c r="K857" t="s">
        <v>167</v>
      </c>
      <c r="M857" t="s">
        <v>167</v>
      </c>
      <c r="O857" t="s">
        <v>167</v>
      </c>
      <c r="Q857" t="s">
        <v>167</v>
      </c>
      <c r="S857" t="s">
        <v>167</v>
      </c>
      <c r="U857" t="s">
        <v>167</v>
      </c>
      <c r="W857" t="s">
        <v>167</v>
      </c>
      <c r="Y857" t="s">
        <v>167</v>
      </c>
    </row>
    <row r="858">
      <c r="G858" t="s">
        <v>167</v>
      </c>
      <c r="I858" t="s">
        <v>167</v>
      </c>
      <c r="K858" t="s">
        <v>167</v>
      </c>
      <c r="M858" t="s">
        <v>167</v>
      </c>
      <c r="O858" t="s">
        <v>167</v>
      </c>
      <c r="Q858" t="s">
        <v>167</v>
      </c>
      <c r="S858" t="s">
        <v>167</v>
      </c>
      <c r="U858" t="s">
        <v>167</v>
      </c>
      <c r="W858" t="s">
        <v>167</v>
      </c>
      <c r="Y858" t="s">
        <v>167</v>
      </c>
    </row>
    <row r="859">
      <c r="G859" t="s">
        <v>167</v>
      </c>
      <c r="I859" t="s">
        <v>167</v>
      </c>
      <c r="K859" t="s">
        <v>167</v>
      </c>
      <c r="M859" t="s">
        <v>167</v>
      </c>
      <c r="O859" t="s">
        <v>167</v>
      </c>
      <c r="Q859" t="s">
        <v>167</v>
      </c>
      <c r="S859" t="s">
        <v>167</v>
      </c>
      <c r="U859" t="s">
        <v>167</v>
      </c>
      <c r="W859" t="s">
        <v>167</v>
      </c>
      <c r="Y859" t="s">
        <v>167</v>
      </c>
    </row>
    <row r="860">
      <c r="G860" t="s">
        <v>167</v>
      </c>
      <c r="I860" t="s">
        <v>167</v>
      </c>
      <c r="K860" t="s">
        <v>167</v>
      </c>
      <c r="M860" t="s">
        <v>167</v>
      </c>
      <c r="O860" t="s">
        <v>167</v>
      </c>
      <c r="Q860" t="s">
        <v>167</v>
      </c>
      <c r="S860" t="s">
        <v>167</v>
      </c>
      <c r="U860" t="s">
        <v>167</v>
      </c>
      <c r="W860" t="s">
        <v>167</v>
      </c>
      <c r="Y860" t="s">
        <v>167</v>
      </c>
    </row>
    <row r="861">
      <c r="G861" t="s">
        <v>167</v>
      </c>
      <c r="I861" t="s">
        <v>167</v>
      </c>
      <c r="K861" t="s">
        <v>167</v>
      </c>
      <c r="M861" t="s">
        <v>167</v>
      </c>
      <c r="O861" t="s">
        <v>167</v>
      </c>
      <c r="Q861" t="s">
        <v>167</v>
      </c>
      <c r="S861" t="s">
        <v>167</v>
      </c>
      <c r="U861" t="s">
        <v>167</v>
      </c>
      <c r="W861" t="s">
        <v>167</v>
      </c>
      <c r="Y861" t="s">
        <v>167</v>
      </c>
    </row>
    <row r="862">
      <c r="G862" t="s">
        <v>167</v>
      </c>
      <c r="I862" t="s">
        <v>167</v>
      </c>
      <c r="K862" t="s">
        <v>167</v>
      </c>
      <c r="M862" t="s">
        <v>167</v>
      </c>
      <c r="O862" t="s">
        <v>167</v>
      </c>
      <c r="Q862" t="s">
        <v>167</v>
      </c>
      <c r="S862" t="s">
        <v>167</v>
      </c>
      <c r="U862" t="s">
        <v>167</v>
      </c>
      <c r="W862" t="s">
        <v>167</v>
      </c>
      <c r="Y862" t="s">
        <v>167</v>
      </c>
    </row>
    <row r="863">
      <c r="G863" t="s">
        <v>167</v>
      </c>
      <c r="I863" t="s">
        <v>167</v>
      </c>
      <c r="K863" t="s">
        <v>167</v>
      </c>
      <c r="M863" t="s">
        <v>167</v>
      </c>
      <c r="O863" t="s">
        <v>167</v>
      </c>
      <c r="Q863" t="s">
        <v>167</v>
      </c>
      <c r="S863" t="s">
        <v>167</v>
      </c>
      <c r="U863" t="s">
        <v>167</v>
      </c>
      <c r="W863" t="s">
        <v>167</v>
      </c>
      <c r="Y863" t="s">
        <v>167</v>
      </c>
    </row>
    <row r="864">
      <c r="G864" t="s">
        <v>167</v>
      </c>
      <c r="I864" t="s">
        <v>167</v>
      </c>
      <c r="K864" t="s">
        <v>167</v>
      </c>
      <c r="M864" t="s">
        <v>167</v>
      </c>
      <c r="O864" t="s">
        <v>167</v>
      </c>
      <c r="Q864" t="s">
        <v>167</v>
      </c>
      <c r="S864" t="s">
        <v>167</v>
      </c>
      <c r="U864" t="s">
        <v>167</v>
      </c>
      <c r="W864" t="s">
        <v>167</v>
      </c>
      <c r="Y864" t="s">
        <v>167</v>
      </c>
    </row>
    <row r="865">
      <c r="G865" t="s">
        <v>167</v>
      </c>
      <c r="I865" t="s">
        <v>167</v>
      </c>
      <c r="K865" t="s">
        <v>167</v>
      </c>
      <c r="M865" t="s">
        <v>167</v>
      </c>
      <c r="O865" t="s">
        <v>167</v>
      </c>
      <c r="Q865" t="s">
        <v>167</v>
      </c>
      <c r="S865" t="s">
        <v>167</v>
      </c>
      <c r="U865" t="s">
        <v>167</v>
      </c>
      <c r="W865" t="s">
        <v>167</v>
      </c>
      <c r="Y865" t="s">
        <v>167</v>
      </c>
    </row>
    <row r="866">
      <c r="G866" t="s">
        <v>167</v>
      </c>
      <c r="I866" t="s">
        <v>167</v>
      </c>
      <c r="K866" t="s">
        <v>167</v>
      </c>
      <c r="M866" t="s">
        <v>167</v>
      </c>
      <c r="O866" t="s">
        <v>167</v>
      </c>
      <c r="Q866" t="s">
        <v>167</v>
      </c>
      <c r="S866" t="s">
        <v>167</v>
      </c>
      <c r="U866" t="s">
        <v>167</v>
      </c>
      <c r="W866" t="s">
        <v>167</v>
      </c>
      <c r="Y866" t="s">
        <v>167</v>
      </c>
    </row>
    <row r="867">
      <c r="G867" t="s">
        <v>167</v>
      </c>
      <c r="I867" t="s">
        <v>167</v>
      </c>
      <c r="K867" t="s">
        <v>167</v>
      </c>
      <c r="M867" t="s">
        <v>167</v>
      </c>
      <c r="O867" t="s">
        <v>167</v>
      </c>
      <c r="Q867" t="s">
        <v>167</v>
      </c>
      <c r="S867" t="s">
        <v>167</v>
      </c>
      <c r="U867" t="s">
        <v>167</v>
      </c>
      <c r="W867" t="s">
        <v>167</v>
      </c>
      <c r="Y867" t="s">
        <v>167</v>
      </c>
    </row>
    <row r="868">
      <c r="G868" t="s">
        <v>167</v>
      </c>
      <c r="I868" t="s">
        <v>167</v>
      </c>
      <c r="K868" t="s">
        <v>167</v>
      </c>
      <c r="M868" t="s">
        <v>167</v>
      </c>
      <c r="O868" t="s">
        <v>167</v>
      </c>
      <c r="Q868" t="s">
        <v>167</v>
      </c>
      <c r="S868" t="s">
        <v>167</v>
      </c>
      <c r="U868" t="s">
        <v>167</v>
      </c>
      <c r="W868" t="s">
        <v>167</v>
      </c>
      <c r="Y868" t="s">
        <v>167</v>
      </c>
    </row>
    <row r="869">
      <c r="G869" t="s">
        <v>167</v>
      </c>
      <c r="I869" t="s">
        <v>167</v>
      </c>
      <c r="K869" t="s">
        <v>167</v>
      </c>
      <c r="M869" t="s">
        <v>167</v>
      </c>
      <c r="O869" t="s">
        <v>167</v>
      </c>
      <c r="Q869" t="s">
        <v>167</v>
      </c>
      <c r="S869" t="s">
        <v>167</v>
      </c>
      <c r="U869" t="s">
        <v>167</v>
      </c>
      <c r="W869" t="s">
        <v>167</v>
      </c>
      <c r="Y869" t="s">
        <v>167</v>
      </c>
    </row>
    <row r="870">
      <c r="G870" t="s">
        <v>167</v>
      </c>
      <c r="I870" t="s">
        <v>167</v>
      </c>
      <c r="K870" t="s">
        <v>167</v>
      </c>
      <c r="M870" t="s">
        <v>167</v>
      </c>
      <c r="O870" t="s">
        <v>167</v>
      </c>
      <c r="Q870" t="s">
        <v>167</v>
      </c>
      <c r="S870" t="s">
        <v>167</v>
      </c>
      <c r="U870" t="s">
        <v>167</v>
      </c>
      <c r="W870" t="s">
        <v>167</v>
      </c>
      <c r="Y870" t="s">
        <v>167</v>
      </c>
    </row>
    <row r="871">
      <c r="G871" t="s">
        <v>167</v>
      </c>
      <c r="I871" t="s">
        <v>167</v>
      </c>
      <c r="K871" t="s">
        <v>167</v>
      </c>
      <c r="M871" t="s">
        <v>167</v>
      </c>
      <c r="O871" t="s">
        <v>167</v>
      </c>
      <c r="Q871" t="s">
        <v>167</v>
      </c>
      <c r="S871" t="s">
        <v>167</v>
      </c>
      <c r="U871" t="s">
        <v>167</v>
      </c>
      <c r="W871" t="s">
        <v>167</v>
      </c>
      <c r="Y871" t="s">
        <v>167</v>
      </c>
    </row>
    <row r="872">
      <c r="G872" t="s">
        <v>167</v>
      </c>
      <c r="I872" t="s">
        <v>167</v>
      </c>
      <c r="K872" t="s">
        <v>167</v>
      </c>
      <c r="M872" t="s">
        <v>167</v>
      </c>
      <c r="O872" t="s">
        <v>167</v>
      </c>
      <c r="Q872" t="s">
        <v>167</v>
      </c>
      <c r="S872" t="s">
        <v>167</v>
      </c>
      <c r="U872" t="s">
        <v>167</v>
      </c>
      <c r="W872" t="s">
        <v>167</v>
      </c>
      <c r="Y872" t="s">
        <v>167</v>
      </c>
    </row>
    <row r="873">
      <c r="G873" t="s">
        <v>167</v>
      </c>
      <c r="I873" t="s">
        <v>167</v>
      </c>
      <c r="K873" t="s">
        <v>167</v>
      </c>
      <c r="M873" t="s">
        <v>167</v>
      </c>
      <c r="O873" t="s">
        <v>167</v>
      </c>
      <c r="Q873" t="s">
        <v>167</v>
      </c>
      <c r="S873" t="s">
        <v>167</v>
      </c>
      <c r="U873" t="s">
        <v>167</v>
      </c>
      <c r="W873" t="s">
        <v>167</v>
      </c>
      <c r="Y873" t="s">
        <v>167</v>
      </c>
    </row>
    <row r="874">
      <c r="G874" t="s">
        <v>167</v>
      </c>
      <c r="I874" t="s">
        <v>167</v>
      </c>
      <c r="K874" t="s">
        <v>167</v>
      </c>
      <c r="M874" t="s">
        <v>167</v>
      </c>
      <c r="O874" t="s">
        <v>167</v>
      </c>
      <c r="Q874" t="s">
        <v>167</v>
      </c>
      <c r="S874" t="s">
        <v>167</v>
      </c>
      <c r="U874" t="s">
        <v>167</v>
      </c>
      <c r="W874" t="s">
        <v>167</v>
      </c>
      <c r="Y874" t="s">
        <v>167</v>
      </c>
    </row>
    <row r="875">
      <c r="G875" t="s">
        <v>167</v>
      </c>
      <c r="I875" t="s">
        <v>167</v>
      </c>
      <c r="K875" t="s">
        <v>167</v>
      </c>
      <c r="M875" t="s">
        <v>167</v>
      </c>
      <c r="O875" t="s">
        <v>167</v>
      </c>
      <c r="Q875" t="s">
        <v>167</v>
      </c>
      <c r="S875" t="s">
        <v>167</v>
      </c>
      <c r="U875" t="s">
        <v>167</v>
      </c>
      <c r="W875" t="s">
        <v>167</v>
      </c>
      <c r="Y875" t="s">
        <v>167</v>
      </c>
    </row>
    <row r="876">
      <c r="G876" t="s">
        <v>167</v>
      </c>
      <c r="I876" t="s">
        <v>167</v>
      </c>
      <c r="K876" t="s">
        <v>167</v>
      </c>
      <c r="M876" t="s">
        <v>167</v>
      </c>
      <c r="O876" t="s">
        <v>167</v>
      </c>
      <c r="Q876" t="s">
        <v>167</v>
      </c>
      <c r="S876" t="s">
        <v>167</v>
      </c>
      <c r="U876" t="s">
        <v>167</v>
      </c>
      <c r="W876" t="s">
        <v>167</v>
      </c>
      <c r="Y876" t="s">
        <v>167</v>
      </c>
    </row>
    <row r="877">
      <c r="G877" t="s">
        <v>167</v>
      </c>
      <c r="I877" t="s">
        <v>167</v>
      </c>
      <c r="K877" t="s">
        <v>167</v>
      </c>
      <c r="M877" t="s">
        <v>167</v>
      </c>
      <c r="O877" t="s">
        <v>167</v>
      </c>
      <c r="Q877" t="s">
        <v>167</v>
      </c>
      <c r="S877" t="s">
        <v>167</v>
      </c>
      <c r="U877" t="s">
        <v>167</v>
      </c>
      <c r="W877" t="s">
        <v>167</v>
      </c>
      <c r="Y877" t="s">
        <v>167</v>
      </c>
    </row>
    <row r="878">
      <c r="G878" t="s">
        <v>167</v>
      </c>
      <c r="I878" t="s">
        <v>167</v>
      </c>
      <c r="K878" t="s">
        <v>167</v>
      </c>
      <c r="M878" t="s">
        <v>167</v>
      </c>
      <c r="O878" t="s">
        <v>167</v>
      </c>
      <c r="Q878" t="s">
        <v>167</v>
      </c>
      <c r="S878" t="s">
        <v>167</v>
      </c>
      <c r="U878" t="s">
        <v>167</v>
      </c>
      <c r="W878" t="s">
        <v>167</v>
      </c>
      <c r="Y878" t="s">
        <v>167</v>
      </c>
    </row>
    <row r="879">
      <c r="G879" t="s">
        <v>167</v>
      </c>
      <c r="I879" t="s">
        <v>167</v>
      </c>
      <c r="K879" t="s">
        <v>167</v>
      </c>
      <c r="M879" t="s">
        <v>167</v>
      </c>
      <c r="O879" t="s">
        <v>167</v>
      </c>
      <c r="Q879" t="s">
        <v>167</v>
      </c>
      <c r="S879" t="s">
        <v>167</v>
      </c>
      <c r="U879" t="s">
        <v>167</v>
      </c>
      <c r="W879" t="s">
        <v>167</v>
      </c>
      <c r="Y879" t="s">
        <v>167</v>
      </c>
    </row>
    <row r="880">
      <c r="G880" t="s">
        <v>167</v>
      </c>
      <c r="I880" t="s">
        <v>167</v>
      </c>
      <c r="K880" t="s">
        <v>167</v>
      </c>
      <c r="M880" t="s">
        <v>167</v>
      </c>
      <c r="O880" t="s">
        <v>167</v>
      </c>
      <c r="Q880" t="s">
        <v>167</v>
      </c>
      <c r="S880" t="s">
        <v>167</v>
      </c>
      <c r="U880" t="s">
        <v>167</v>
      </c>
      <c r="W880" t="s">
        <v>167</v>
      </c>
      <c r="Y880" t="s">
        <v>167</v>
      </c>
    </row>
    <row r="881">
      <c r="G881" t="s">
        <v>167</v>
      </c>
      <c r="I881" t="s">
        <v>167</v>
      </c>
      <c r="K881" t="s">
        <v>167</v>
      </c>
      <c r="M881" t="s">
        <v>167</v>
      </c>
      <c r="O881" t="s">
        <v>167</v>
      </c>
      <c r="Q881" t="s">
        <v>167</v>
      </c>
      <c r="S881" t="s">
        <v>167</v>
      </c>
      <c r="U881" t="s">
        <v>167</v>
      </c>
      <c r="W881" t="s">
        <v>167</v>
      </c>
      <c r="Y881" t="s">
        <v>167</v>
      </c>
    </row>
    <row r="882">
      <c r="G882" t="s">
        <v>167</v>
      </c>
      <c r="I882" t="s">
        <v>167</v>
      </c>
      <c r="K882" t="s">
        <v>167</v>
      </c>
      <c r="M882" t="s">
        <v>167</v>
      </c>
      <c r="O882" t="s">
        <v>167</v>
      </c>
      <c r="Q882" t="s">
        <v>167</v>
      </c>
      <c r="S882" t="s">
        <v>167</v>
      </c>
      <c r="U882" t="s">
        <v>167</v>
      </c>
      <c r="W882" t="s">
        <v>167</v>
      </c>
      <c r="Y882" t="s">
        <v>167</v>
      </c>
    </row>
    <row r="883">
      <c r="G883" t="s">
        <v>167</v>
      </c>
      <c r="I883" t="s">
        <v>167</v>
      </c>
      <c r="K883" t="s">
        <v>167</v>
      </c>
      <c r="M883" t="s">
        <v>167</v>
      </c>
      <c r="O883" t="s">
        <v>167</v>
      </c>
      <c r="Q883" t="s">
        <v>167</v>
      </c>
      <c r="S883" t="s">
        <v>167</v>
      </c>
      <c r="U883" t="s">
        <v>167</v>
      </c>
      <c r="W883" t="s">
        <v>167</v>
      </c>
      <c r="Y883" t="s">
        <v>167</v>
      </c>
    </row>
    <row r="884">
      <c r="G884" t="s">
        <v>167</v>
      </c>
      <c r="I884" t="s">
        <v>167</v>
      </c>
      <c r="K884" t="s">
        <v>167</v>
      </c>
      <c r="M884" t="s">
        <v>167</v>
      </c>
      <c r="O884" t="s">
        <v>167</v>
      </c>
      <c r="Q884" t="s">
        <v>167</v>
      </c>
      <c r="S884" t="s">
        <v>167</v>
      </c>
      <c r="U884" t="s">
        <v>167</v>
      </c>
      <c r="W884" t="s">
        <v>167</v>
      </c>
      <c r="Y884" t="s">
        <v>167</v>
      </c>
    </row>
    <row r="885">
      <c r="G885" t="s">
        <v>167</v>
      </c>
      <c r="I885" t="s">
        <v>167</v>
      </c>
      <c r="K885" t="s">
        <v>167</v>
      </c>
      <c r="M885" t="s">
        <v>167</v>
      </c>
      <c r="O885" t="s">
        <v>167</v>
      </c>
      <c r="Q885" t="s">
        <v>167</v>
      </c>
      <c r="S885" t="s">
        <v>167</v>
      </c>
      <c r="U885" t="s">
        <v>167</v>
      </c>
      <c r="W885" t="s">
        <v>167</v>
      </c>
      <c r="Y885" t="s">
        <v>167</v>
      </c>
    </row>
    <row r="886">
      <c r="G886" t="s">
        <v>167</v>
      </c>
      <c r="I886" t="s">
        <v>167</v>
      </c>
      <c r="K886" t="s">
        <v>167</v>
      </c>
      <c r="M886" t="s">
        <v>167</v>
      </c>
      <c r="O886" t="s">
        <v>167</v>
      </c>
      <c r="Q886" t="s">
        <v>167</v>
      </c>
      <c r="S886" t="s">
        <v>167</v>
      </c>
      <c r="U886" t="s">
        <v>167</v>
      </c>
      <c r="W886" t="s">
        <v>167</v>
      </c>
      <c r="Y886" t="s">
        <v>167</v>
      </c>
    </row>
    <row r="887">
      <c r="G887" t="s">
        <v>167</v>
      </c>
      <c r="I887" t="s">
        <v>167</v>
      </c>
      <c r="K887" t="s">
        <v>167</v>
      </c>
      <c r="M887" t="s">
        <v>167</v>
      </c>
      <c r="O887" t="s">
        <v>167</v>
      </c>
      <c r="Q887" t="s">
        <v>167</v>
      </c>
      <c r="S887" t="s">
        <v>167</v>
      </c>
      <c r="U887" t="s">
        <v>167</v>
      </c>
      <c r="W887" t="s">
        <v>167</v>
      </c>
      <c r="Y887" t="s">
        <v>167</v>
      </c>
    </row>
    <row r="888">
      <c r="G888" t="s">
        <v>167</v>
      </c>
      <c r="I888" t="s">
        <v>167</v>
      </c>
      <c r="K888" t="s">
        <v>167</v>
      </c>
      <c r="M888" t="s">
        <v>167</v>
      </c>
      <c r="O888" t="s">
        <v>167</v>
      </c>
      <c r="Q888" t="s">
        <v>167</v>
      </c>
      <c r="S888" t="s">
        <v>167</v>
      </c>
      <c r="U888" t="s">
        <v>167</v>
      </c>
      <c r="W888" t="s">
        <v>167</v>
      </c>
      <c r="Y888" t="s">
        <v>167</v>
      </c>
    </row>
    <row r="889">
      <c r="G889" t="s">
        <v>167</v>
      </c>
      <c r="I889" t="s">
        <v>167</v>
      </c>
      <c r="K889" t="s">
        <v>167</v>
      </c>
      <c r="M889" t="s">
        <v>167</v>
      </c>
      <c r="O889" t="s">
        <v>167</v>
      </c>
      <c r="Q889" t="s">
        <v>167</v>
      </c>
      <c r="S889" t="s">
        <v>167</v>
      </c>
      <c r="U889" t="s">
        <v>167</v>
      </c>
      <c r="W889" t="s">
        <v>167</v>
      </c>
      <c r="Y889" t="s">
        <v>167</v>
      </c>
    </row>
    <row r="890">
      <c r="G890" t="s">
        <v>167</v>
      </c>
      <c r="I890" t="s">
        <v>167</v>
      </c>
      <c r="K890" t="s">
        <v>167</v>
      </c>
      <c r="M890" t="s">
        <v>167</v>
      </c>
      <c r="O890" t="s">
        <v>167</v>
      </c>
      <c r="Q890" t="s">
        <v>167</v>
      </c>
      <c r="S890" t="s">
        <v>167</v>
      </c>
      <c r="U890" t="s">
        <v>167</v>
      </c>
      <c r="W890" t="s">
        <v>167</v>
      </c>
      <c r="Y890" t="s">
        <v>167</v>
      </c>
    </row>
    <row r="891">
      <c r="G891" t="s">
        <v>167</v>
      </c>
      <c r="I891" t="s">
        <v>167</v>
      </c>
      <c r="K891" t="s">
        <v>167</v>
      </c>
      <c r="M891" t="s">
        <v>167</v>
      </c>
      <c r="O891" t="s">
        <v>167</v>
      </c>
      <c r="Q891" t="s">
        <v>167</v>
      </c>
      <c r="S891" t="s">
        <v>167</v>
      </c>
      <c r="U891" t="s">
        <v>167</v>
      </c>
      <c r="W891" t="s">
        <v>167</v>
      </c>
      <c r="Y891" t="s">
        <v>167</v>
      </c>
    </row>
    <row r="892">
      <c r="G892" t="s">
        <v>167</v>
      </c>
      <c r="I892" t="s">
        <v>167</v>
      </c>
      <c r="K892" t="s">
        <v>167</v>
      </c>
      <c r="M892" t="s">
        <v>167</v>
      </c>
      <c r="O892" t="s">
        <v>167</v>
      </c>
      <c r="Q892" t="s">
        <v>167</v>
      </c>
      <c r="S892" t="s">
        <v>167</v>
      </c>
      <c r="U892" t="s">
        <v>167</v>
      </c>
      <c r="W892" t="s">
        <v>167</v>
      </c>
      <c r="Y892" t="s">
        <v>167</v>
      </c>
    </row>
    <row r="893">
      <c r="G893" t="s">
        <v>167</v>
      </c>
      <c r="I893" t="s">
        <v>167</v>
      </c>
      <c r="K893" t="s">
        <v>167</v>
      </c>
      <c r="M893" t="s">
        <v>167</v>
      </c>
      <c r="O893" t="s">
        <v>167</v>
      </c>
      <c r="Q893" t="s">
        <v>167</v>
      </c>
      <c r="S893" t="s">
        <v>167</v>
      </c>
      <c r="U893" t="s">
        <v>167</v>
      </c>
      <c r="W893" t="s">
        <v>167</v>
      </c>
      <c r="Y893" t="s">
        <v>167</v>
      </c>
    </row>
    <row r="894">
      <c r="G894" t="s">
        <v>167</v>
      </c>
      <c r="I894" t="s">
        <v>167</v>
      </c>
      <c r="K894" t="s">
        <v>167</v>
      </c>
      <c r="M894" t="s">
        <v>167</v>
      </c>
      <c r="O894" t="s">
        <v>167</v>
      </c>
      <c r="Q894" t="s">
        <v>167</v>
      </c>
      <c r="S894" t="s">
        <v>167</v>
      </c>
      <c r="U894" t="s">
        <v>167</v>
      </c>
      <c r="W894" t="s">
        <v>167</v>
      </c>
      <c r="Y894" t="s">
        <v>167</v>
      </c>
    </row>
    <row r="895">
      <c r="G895" t="s">
        <v>167</v>
      </c>
      <c r="I895" t="s">
        <v>167</v>
      </c>
      <c r="K895" t="s">
        <v>167</v>
      </c>
      <c r="M895" t="s">
        <v>167</v>
      </c>
      <c r="O895" t="s">
        <v>167</v>
      </c>
      <c r="Q895" t="s">
        <v>167</v>
      </c>
      <c r="S895" t="s">
        <v>167</v>
      </c>
      <c r="U895" t="s">
        <v>167</v>
      </c>
      <c r="W895" t="s">
        <v>167</v>
      </c>
      <c r="Y895" t="s">
        <v>167</v>
      </c>
    </row>
    <row r="896">
      <c r="G896" t="s">
        <v>167</v>
      </c>
      <c r="I896" t="s">
        <v>167</v>
      </c>
      <c r="K896" t="s">
        <v>167</v>
      </c>
      <c r="M896" t="s">
        <v>167</v>
      </c>
      <c r="O896" t="s">
        <v>167</v>
      </c>
      <c r="Q896" t="s">
        <v>167</v>
      </c>
      <c r="S896" t="s">
        <v>167</v>
      </c>
      <c r="U896" t="s">
        <v>167</v>
      </c>
      <c r="W896" t="s">
        <v>167</v>
      </c>
      <c r="Y896" t="s">
        <v>167</v>
      </c>
    </row>
    <row r="897">
      <c r="G897" t="s">
        <v>167</v>
      </c>
      <c r="I897" t="s">
        <v>167</v>
      </c>
      <c r="K897" t="s">
        <v>167</v>
      </c>
      <c r="M897" t="s">
        <v>167</v>
      </c>
      <c r="O897" t="s">
        <v>167</v>
      </c>
      <c r="Q897" t="s">
        <v>167</v>
      </c>
      <c r="S897" t="s">
        <v>167</v>
      </c>
      <c r="U897" t="s">
        <v>167</v>
      </c>
      <c r="W897" t="s">
        <v>167</v>
      </c>
      <c r="Y897" t="s">
        <v>167</v>
      </c>
    </row>
    <row r="898">
      <c r="G898" t="s">
        <v>167</v>
      </c>
      <c r="I898" t="s">
        <v>167</v>
      </c>
      <c r="K898" t="s">
        <v>167</v>
      </c>
      <c r="M898" t="s">
        <v>167</v>
      </c>
      <c r="O898" t="s">
        <v>167</v>
      </c>
      <c r="Q898" t="s">
        <v>167</v>
      </c>
      <c r="S898" t="s">
        <v>167</v>
      </c>
      <c r="U898" t="s">
        <v>167</v>
      </c>
      <c r="W898" t="s">
        <v>167</v>
      </c>
      <c r="Y898" t="s">
        <v>167</v>
      </c>
    </row>
    <row r="899">
      <c r="G899" t="s">
        <v>167</v>
      </c>
      <c r="I899" t="s">
        <v>167</v>
      </c>
      <c r="K899" t="s">
        <v>167</v>
      </c>
      <c r="M899" t="s">
        <v>167</v>
      </c>
      <c r="O899" t="s">
        <v>167</v>
      </c>
      <c r="Q899" t="s">
        <v>167</v>
      </c>
      <c r="S899" t="s">
        <v>167</v>
      </c>
      <c r="U899" t="s">
        <v>167</v>
      </c>
      <c r="W899" t="s">
        <v>167</v>
      </c>
      <c r="Y899" t="s">
        <v>167</v>
      </c>
    </row>
    <row r="900">
      <c r="G900" t="s">
        <v>167</v>
      </c>
      <c r="I900" t="s">
        <v>167</v>
      </c>
      <c r="K900" t="s">
        <v>167</v>
      </c>
      <c r="M900" t="s">
        <v>167</v>
      </c>
      <c r="O900" t="s">
        <v>167</v>
      </c>
      <c r="Q900" t="s">
        <v>167</v>
      </c>
      <c r="S900" t="s">
        <v>167</v>
      </c>
      <c r="U900" t="s">
        <v>167</v>
      </c>
      <c r="W900" t="s">
        <v>167</v>
      </c>
      <c r="Y900" t="s">
        <v>167</v>
      </c>
    </row>
    <row r="901">
      <c r="G901" t="s">
        <v>167</v>
      </c>
      <c r="I901" t="s">
        <v>167</v>
      </c>
      <c r="K901" t="s">
        <v>167</v>
      </c>
      <c r="M901" t="s">
        <v>167</v>
      </c>
      <c r="O901" t="s">
        <v>167</v>
      </c>
      <c r="Q901" t="s">
        <v>167</v>
      </c>
      <c r="S901" t="s">
        <v>167</v>
      </c>
      <c r="U901" t="s">
        <v>167</v>
      </c>
      <c r="W901" t="s">
        <v>167</v>
      </c>
      <c r="Y901" t="s">
        <v>167</v>
      </c>
    </row>
    <row r="902">
      <c r="G902" t="s">
        <v>167</v>
      </c>
      <c r="I902" t="s">
        <v>167</v>
      </c>
      <c r="K902" t="s">
        <v>167</v>
      </c>
      <c r="M902" t="s">
        <v>167</v>
      </c>
      <c r="O902" t="s">
        <v>167</v>
      </c>
      <c r="Q902" t="s">
        <v>167</v>
      </c>
      <c r="S902" t="s">
        <v>167</v>
      </c>
      <c r="U902" t="s">
        <v>167</v>
      </c>
      <c r="W902" t="s">
        <v>167</v>
      </c>
      <c r="Y902" t="s">
        <v>167</v>
      </c>
    </row>
    <row r="903">
      <c r="G903" t="s">
        <v>167</v>
      </c>
      <c r="I903" t="s">
        <v>167</v>
      </c>
      <c r="K903" t="s">
        <v>167</v>
      </c>
      <c r="M903" t="s">
        <v>167</v>
      </c>
      <c r="O903" t="s">
        <v>167</v>
      </c>
      <c r="Q903" t="s">
        <v>167</v>
      </c>
      <c r="S903" t="s">
        <v>167</v>
      </c>
      <c r="U903" t="s">
        <v>167</v>
      </c>
      <c r="W903" t="s">
        <v>167</v>
      </c>
      <c r="Y903" t="s">
        <v>167</v>
      </c>
    </row>
    <row r="904">
      <c r="G904" t="s">
        <v>167</v>
      </c>
      <c r="I904" t="s">
        <v>167</v>
      </c>
      <c r="K904" t="s">
        <v>167</v>
      </c>
      <c r="M904" t="s">
        <v>167</v>
      </c>
      <c r="O904" t="s">
        <v>167</v>
      </c>
      <c r="Q904" t="s">
        <v>167</v>
      </c>
      <c r="S904" t="s">
        <v>167</v>
      </c>
      <c r="U904" t="s">
        <v>167</v>
      </c>
      <c r="W904" t="s">
        <v>167</v>
      </c>
      <c r="Y904" t="s">
        <v>167</v>
      </c>
    </row>
    <row r="905">
      <c r="G905" t="s">
        <v>167</v>
      </c>
      <c r="I905" t="s">
        <v>167</v>
      </c>
      <c r="K905" t="s">
        <v>167</v>
      </c>
      <c r="M905" t="s">
        <v>167</v>
      </c>
      <c r="O905" t="s">
        <v>167</v>
      </c>
      <c r="Q905" t="s">
        <v>167</v>
      </c>
      <c r="S905" t="s">
        <v>167</v>
      </c>
      <c r="U905" t="s">
        <v>167</v>
      </c>
      <c r="W905" t="s">
        <v>167</v>
      </c>
      <c r="Y905" t="s">
        <v>167</v>
      </c>
    </row>
    <row r="906">
      <c r="G906" t="s">
        <v>167</v>
      </c>
      <c r="I906" t="s">
        <v>167</v>
      </c>
      <c r="K906" t="s">
        <v>167</v>
      </c>
      <c r="M906" t="s">
        <v>167</v>
      </c>
      <c r="O906" t="s">
        <v>167</v>
      </c>
      <c r="Q906" t="s">
        <v>167</v>
      </c>
      <c r="S906" t="s">
        <v>167</v>
      </c>
      <c r="U906" t="s">
        <v>167</v>
      </c>
      <c r="W906" t="s">
        <v>167</v>
      </c>
      <c r="Y906" t="s">
        <v>167</v>
      </c>
    </row>
    <row r="907">
      <c r="G907" t="s">
        <v>167</v>
      </c>
      <c r="I907" t="s">
        <v>167</v>
      </c>
      <c r="K907" t="s">
        <v>167</v>
      </c>
      <c r="M907" t="s">
        <v>167</v>
      </c>
      <c r="O907" t="s">
        <v>167</v>
      </c>
      <c r="Q907" t="s">
        <v>167</v>
      </c>
      <c r="S907" t="s">
        <v>167</v>
      </c>
      <c r="U907" t="s">
        <v>167</v>
      </c>
      <c r="W907" t="s">
        <v>167</v>
      </c>
      <c r="Y907" t="s">
        <v>167</v>
      </c>
    </row>
    <row r="908">
      <c r="G908" t="s">
        <v>167</v>
      </c>
      <c r="I908" t="s">
        <v>167</v>
      </c>
      <c r="K908" t="s">
        <v>167</v>
      </c>
      <c r="M908" t="s">
        <v>167</v>
      </c>
      <c r="O908" t="s">
        <v>167</v>
      </c>
      <c r="Q908" t="s">
        <v>167</v>
      </c>
      <c r="S908" t="s">
        <v>167</v>
      </c>
      <c r="U908" t="s">
        <v>167</v>
      </c>
      <c r="W908" t="s">
        <v>167</v>
      </c>
      <c r="Y908" t="s">
        <v>167</v>
      </c>
    </row>
    <row r="909">
      <c r="G909" t="s">
        <v>167</v>
      </c>
      <c r="I909" t="s">
        <v>167</v>
      </c>
      <c r="K909" t="s">
        <v>167</v>
      </c>
      <c r="M909" t="s">
        <v>167</v>
      </c>
      <c r="O909" t="s">
        <v>167</v>
      </c>
      <c r="Q909" t="s">
        <v>167</v>
      </c>
      <c r="S909" t="s">
        <v>167</v>
      </c>
      <c r="U909" t="s">
        <v>167</v>
      </c>
      <c r="W909" t="s">
        <v>167</v>
      </c>
      <c r="Y909" t="s">
        <v>167</v>
      </c>
    </row>
    <row r="910">
      <c r="G910" t="s">
        <v>167</v>
      </c>
      <c r="I910" t="s">
        <v>167</v>
      </c>
      <c r="K910" t="s">
        <v>167</v>
      </c>
      <c r="M910" t="s">
        <v>167</v>
      </c>
      <c r="O910" t="s">
        <v>167</v>
      </c>
      <c r="Q910" t="s">
        <v>167</v>
      </c>
      <c r="S910" t="s">
        <v>167</v>
      </c>
      <c r="U910" t="s">
        <v>167</v>
      </c>
      <c r="W910" t="s">
        <v>167</v>
      </c>
      <c r="Y910" t="s">
        <v>167</v>
      </c>
    </row>
    <row r="911">
      <c r="G911" t="s">
        <v>167</v>
      </c>
      <c r="I911" t="s">
        <v>167</v>
      </c>
      <c r="K911" t="s">
        <v>167</v>
      </c>
      <c r="M911" t="s">
        <v>167</v>
      </c>
      <c r="O911" t="s">
        <v>167</v>
      </c>
      <c r="Q911" t="s">
        <v>167</v>
      </c>
      <c r="S911" t="s">
        <v>167</v>
      </c>
      <c r="U911" t="s">
        <v>167</v>
      </c>
      <c r="W911" t="s">
        <v>167</v>
      </c>
      <c r="Y911" t="s">
        <v>167</v>
      </c>
    </row>
    <row r="912">
      <c r="G912" t="s">
        <v>167</v>
      </c>
      <c r="I912" t="s">
        <v>167</v>
      </c>
      <c r="K912" t="s">
        <v>167</v>
      </c>
      <c r="M912" t="s">
        <v>167</v>
      </c>
      <c r="O912" t="s">
        <v>167</v>
      </c>
      <c r="Q912" t="s">
        <v>167</v>
      </c>
      <c r="S912" t="s">
        <v>167</v>
      </c>
      <c r="U912" t="s">
        <v>167</v>
      </c>
      <c r="W912" t="s">
        <v>167</v>
      </c>
      <c r="Y912" t="s">
        <v>167</v>
      </c>
    </row>
    <row r="913">
      <c r="G913" t="s">
        <v>167</v>
      </c>
      <c r="I913" t="s">
        <v>167</v>
      </c>
      <c r="K913" t="s">
        <v>167</v>
      </c>
      <c r="M913" t="s">
        <v>167</v>
      </c>
      <c r="O913" t="s">
        <v>167</v>
      </c>
      <c r="Q913" t="s">
        <v>167</v>
      </c>
      <c r="S913" t="s">
        <v>167</v>
      </c>
      <c r="U913" t="s">
        <v>167</v>
      </c>
      <c r="W913" t="s">
        <v>167</v>
      </c>
      <c r="Y913" t="s">
        <v>167</v>
      </c>
    </row>
    <row r="914">
      <c r="G914" t="s">
        <v>167</v>
      </c>
      <c r="I914" t="s">
        <v>167</v>
      </c>
      <c r="K914" t="s">
        <v>167</v>
      </c>
      <c r="M914" t="s">
        <v>167</v>
      </c>
      <c r="O914" t="s">
        <v>167</v>
      </c>
      <c r="Q914" t="s">
        <v>167</v>
      </c>
      <c r="S914" t="s">
        <v>167</v>
      </c>
      <c r="U914" t="s">
        <v>167</v>
      </c>
      <c r="W914" t="s">
        <v>167</v>
      </c>
      <c r="Y914" t="s">
        <v>167</v>
      </c>
    </row>
    <row r="915">
      <c r="G915" t="s">
        <v>167</v>
      </c>
      <c r="I915" t="s">
        <v>167</v>
      </c>
      <c r="K915" t="s">
        <v>167</v>
      </c>
      <c r="M915" t="s">
        <v>167</v>
      </c>
      <c r="O915" t="s">
        <v>167</v>
      </c>
      <c r="Q915" t="s">
        <v>167</v>
      </c>
      <c r="S915" t="s">
        <v>167</v>
      </c>
      <c r="U915" t="s">
        <v>167</v>
      </c>
      <c r="W915" t="s">
        <v>167</v>
      </c>
      <c r="Y915" t="s">
        <v>167</v>
      </c>
    </row>
    <row r="916">
      <c r="G916" t="s">
        <v>167</v>
      </c>
      <c r="I916" t="s">
        <v>167</v>
      </c>
      <c r="K916" t="s">
        <v>167</v>
      </c>
      <c r="M916" t="s">
        <v>167</v>
      </c>
      <c r="O916" t="s">
        <v>167</v>
      </c>
      <c r="Q916" t="s">
        <v>167</v>
      </c>
      <c r="S916" t="s">
        <v>167</v>
      </c>
      <c r="U916" t="s">
        <v>167</v>
      </c>
      <c r="W916" t="s">
        <v>167</v>
      </c>
      <c r="Y916" t="s">
        <v>167</v>
      </c>
    </row>
    <row r="917">
      <c r="G917" t="s">
        <v>167</v>
      </c>
      <c r="I917" t="s">
        <v>167</v>
      </c>
      <c r="K917" t="s">
        <v>167</v>
      </c>
      <c r="M917" t="s">
        <v>167</v>
      </c>
      <c r="O917" t="s">
        <v>167</v>
      </c>
      <c r="Q917" t="s">
        <v>167</v>
      </c>
      <c r="S917" t="s">
        <v>167</v>
      </c>
      <c r="U917" t="s">
        <v>167</v>
      </c>
      <c r="W917" t="s">
        <v>167</v>
      </c>
      <c r="Y917" t="s">
        <v>167</v>
      </c>
    </row>
    <row r="918">
      <c r="G918" t="s">
        <v>167</v>
      </c>
      <c r="I918" t="s">
        <v>167</v>
      </c>
      <c r="K918" t="s">
        <v>167</v>
      </c>
      <c r="M918" t="s">
        <v>167</v>
      </c>
      <c r="O918" t="s">
        <v>167</v>
      </c>
      <c r="Q918" t="s">
        <v>167</v>
      </c>
      <c r="S918" t="s">
        <v>167</v>
      </c>
      <c r="U918" t="s">
        <v>167</v>
      </c>
      <c r="W918" t="s">
        <v>167</v>
      </c>
      <c r="Y918" t="s">
        <v>167</v>
      </c>
    </row>
    <row r="919">
      <c r="G919" t="s">
        <v>167</v>
      </c>
      <c r="I919" t="s">
        <v>167</v>
      </c>
      <c r="K919" t="s">
        <v>167</v>
      </c>
      <c r="M919" t="s">
        <v>167</v>
      </c>
      <c r="O919" t="s">
        <v>167</v>
      </c>
      <c r="Q919" t="s">
        <v>167</v>
      </c>
      <c r="S919" t="s">
        <v>167</v>
      </c>
      <c r="U919" t="s">
        <v>167</v>
      </c>
      <c r="W919" t="s">
        <v>167</v>
      </c>
      <c r="Y919" t="s">
        <v>167</v>
      </c>
    </row>
    <row r="920">
      <c r="G920" t="s">
        <v>167</v>
      </c>
      <c r="I920" t="s">
        <v>167</v>
      </c>
      <c r="K920" t="s">
        <v>167</v>
      </c>
      <c r="M920" t="s">
        <v>167</v>
      </c>
      <c r="O920" t="s">
        <v>167</v>
      </c>
      <c r="Q920" t="s">
        <v>167</v>
      </c>
      <c r="S920" t="s">
        <v>167</v>
      </c>
      <c r="U920" t="s">
        <v>167</v>
      </c>
      <c r="W920" t="s">
        <v>167</v>
      </c>
      <c r="Y920" t="s">
        <v>167</v>
      </c>
    </row>
    <row r="921">
      <c r="G921" t="s">
        <v>167</v>
      </c>
      <c r="I921" t="s">
        <v>167</v>
      </c>
      <c r="K921" t="s">
        <v>167</v>
      </c>
      <c r="M921" t="s">
        <v>167</v>
      </c>
      <c r="O921" t="s">
        <v>167</v>
      </c>
      <c r="Q921" t="s">
        <v>167</v>
      </c>
      <c r="S921" t="s">
        <v>167</v>
      </c>
      <c r="U921" t="s">
        <v>167</v>
      </c>
      <c r="W921" t="s">
        <v>167</v>
      </c>
      <c r="Y921" t="s">
        <v>167</v>
      </c>
    </row>
    <row r="922">
      <c r="G922" t="s">
        <v>167</v>
      </c>
      <c r="I922" t="s">
        <v>167</v>
      </c>
      <c r="K922" t="s">
        <v>167</v>
      </c>
      <c r="M922" t="s">
        <v>167</v>
      </c>
      <c r="O922" t="s">
        <v>167</v>
      </c>
      <c r="Q922" t="s">
        <v>167</v>
      </c>
      <c r="S922" t="s">
        <v>167</v>
      </c>
      <c r="U922" t="s">
        <v>167</v>
      </c>
      <c r="W922" t="s">
        <v>167</v>
      </c>
      <c r="Y922" t="s">
        <v>167</v>
      </c>
    </row>
    <row r="923">
      <c r="G923" t="s">
        <v>167</v>
      </c>
      <c r="I923" t="s">
        <v>167</v>
      </c>
      <c r="K923" t="s">
        <v>167</v>
      </c>
      <c r="M923" t="s">
        <v>167</v>
      </c>
      <c r="O923" t="s">
        <v>167</v>
      </c>
      <c r="Q923" t="s">
        <v>167</v>
      </c>
      <c r="S923" t="s">
        <v>167</v>
      </c>
      <c r="U923" t="s">
        <v>167</v>
      </c>
      <c r="W923" t="s">
        <v>167</v>
      </c>
      <c r="Y923" t="s">
        <v>167</v>
      </c>
    </row>
    <row r="924">
      <c r="G924" t="s">
        <v>167</v>
      </c>
      <c r="I924" t="s">
        <v>167</v>
      </c>
      <c r="K924" t="s">
        <v>167</v>
      </c>
      <c r="M924" t="s">
        <v>167</v>
      </c>
      <c r="O924" t="s">
        <v>167</v>
      </c>
      <c r="Q924" t="s">
        <v>167</v>
      </c>
      <c r="S924" t="s">
        <v>167</v>
      </c>
      <c r="U924" t="s">
        <v>167</v>
      </c>
      <c r="W924" t="s">
        <v>167</v>
      </c>
      <c r="Y924" t="s">
        <v>167</v>
      </c>
    </row>
    <row r="925">
      <c r="G925" t="s">
        <v>167</v>
      </c>
      <c r="I925" t="s">
        <v>167</v>
      </c>
      <c r="K925" t="s">
        <v>167</v>
      </c>
      <c r="M925" t="s">
        <v>167</v>
      </c>
      <c r="O925" t="s">
        <v>167</v>
      </c>
      <c r="Q925" t="s">
        <v>167</v>
      </c>
      <c r="S925" t="s">
        <v>167</v>
      </c>
      <c r="U925" t="s">
        <v>167</v>
      </c>
      <c r="W925" t="s">
        <v>167</v>
      </c>
      <c r="Y925" t="s">
        <v>167</v>
      </c>
    </row>
    <row r="926">
      <c r="G926" t="s">
        <v>167</v>
      </c>
      <c r="I926" t="s">
        <v>167</v>
      </c>
      <c r="K926" t="s">
        <v>167</v>
      </c>
      <c r="M926" t="s">
        <v>167</v>
      </c>
      <c r="O926" t="s">
        <v>167</v>
      </c>
      <c r="Q926" t="s">
        <v>167</v>
      </c>
      <c r="S926" t="s">
        <v>167</v>
      </c>
      <c r="U926" t="s">
        <v>167</v>
      </c>
      <c r="W926" t="s">
        <v>167</v>
      </c>
      <c r="Y926" t="s">
        <v>167</v>
      </c>
    </row>
    <row r="927">
      <c r="G927" t="s">
        <v>167</v>
      </c>
      <c r="I927" t="s">
        <v>167</v>
      </c>
      <c r="K927" t="s">
        <v>167</v>
      </c>
      <c r="M927" t="s">
        <v>167</v>
      </c>
      <c r="O927" t="s">
        <v>167</v>
      </c>
      <c r="Q927" t="s">
        <v>167</v>
      </c>
      <c r="S927" t="s">
        <v>167</v>
      </c>
      <c r="U927" t="s">
        <v>167</v>
      </c>
      <c r="W927" t="s">
        <v>167</v>
      </c>
      <c r="Y927" t="s">
        <v>167</v>
      </c>
    </row>
    <row r="928">
      <c r="G928" t="s">
        <v>167</v>
      </c>
      <c r="I928" t="s">
        <v>167</v>
      </c>
      <c r="K928" t="s">
        <v>167</v>
      </c>
      <c r="M928" t="s">
        <v>167</v>
      </c>
      <c r="O928" t="s">
        <v>167</v>
      </c>
      <c r="Q928" t="s">
        <v>167</v>
      </c>
      <c r="S928" t="s">
        <v>167</v>
      </c>
      <c r="U928" t="s">
        <v>167</v>
      </c>
      <c r="W928" t="s">
        <v>167</v>
      </c>
      <c r="Y928" t="s">
        <v>167</v>
      </c>
    </row>
    <row r="929">
      <c r="G929" t="s">
        <v>167</v>
      </c>
      <c r="I929" t="s">
        <v>167</v>
      </c>
      <c r="K929" t="s">
        <v>167</v>
      </c>
      <c r="M929" t="s">
        <v>167</v>
      </c>
      <c r="O929" t="s">
        <v>167</v>
      </c>
      <c r="Q929" t="s">
        <v>167</v>
      </c>
      <c r="S929" t="s">
        <v>167</v>
      </c>
      <c r="U929" t="s">
        <v>167</v>
      </c>
      <c r="W929" t="s">
        <v>167</v>
      </c>
      <c r="Y929" t="s">
        <v>167</v>
      </c>
    </row>
    <row r="930">
      <c r="G930" t="s">
        <v>167</v>
      </c>
      <c r="I930" t="s">
        <v>167</v>
      </c>
      <c r="K930" t="s">
        <v>167</v>
      </c>
      <c r="M930" t="s">
        <v>167</v>
      </c>
      <c r="O930" t="s">
        <v>167</v>
      </c>
      <c r="Q930" t="s">
        <v>167</v>
      </c>
      <c r="S930" t="s">
        <v>167</v>
      </c>
      <c r="U930" t="s">
        <v>167</v>
      </c>
      <c r="W930" t="s">
        <v>167</v>
      </c>
      <c r="Y930" t="s">
        <v>167</v>
      </c>
    </row>
    <row r="931">
      <c r="G931" t="s">
        <v>167</v>
      </c>
      <c r="I931" t="s">
        <v>167</v>
      </c>
      <c r="K931" t="s">
        <v>167</v>
      </c>
      <c r="M931" t="s">
        <v>167</v>
      </c>
      <c r="O931" t="s">
        <v>167</v>
      </c>
      <c r="Q931" t="s">
        <v>167</v>
      </c>
      <c r="S931" t="s">
        <v>167</v>
      </c>
      <c r="U931" t="s">
        <v>167</v>
      </c>
      <c r="W931" t="s">
        <v>167</v>
      </c>
      <c r="Y931" t="s">
        <v>167</v>
      </c>
    </row>
    <row r="932">
      <c r="G932" t="s">
        <v>167</v>
      </c>
      <c r="I932" t="s">
        <v>167</v>
      </c>
      <c r="K932" t="s">
        <v>167</v>
      </c>
      <c r="M932" t="s">
        <v>167</v>
      </c>
      <c r="O932" t="s">
        <v>167</v>
      </c>
      <c r="Q932" t="s">
        <v>167</v>
      </c>
      <c r="S932" t="s">
        <v>167</v>
      </c>
      <c r="U932" t="s">
        <v>167</v>
      </c>
      <c r="W932" t="s">
        <v>167</v>
      </c>
      <c r="Y932" t="s">
        <v>167</v>
      </c>
    </row>
    <row r="933">
      <c r="G933" t="s">
        <v>167</v>
      </c>
      <c r="I933" t="s">
        <v>167</v>
      </c>
      <c r="K933" t="s">
        <v>167</v>
      </c>
      <c r="M933" t="s">
        <v>167</v>
      </c>
      <c r="O933" t="s">
        <v>167</v>
      </c>
      <c r="Q933" t="s">
        <v>167</v>
      </c>
      <c r="S933" t="s">
        <v>167</v>
      </c>
      <c r="U933" t="s">
        <v>167</v>
      </c>
      <c r="W933" t="s">
        <v>167</v>
      </c>
      <c r="Y933" t="s">
        <v>167</v>
      </c>
    </row>
    <row r="934">
      <c r="G934" t="s">
        <v>167</v>
      </c>
      <c r="I934" t="s">
        <v>167</v>
      </c>
      <c r="K934" t="s">
        <v>167</v>
      </c>
      <c r="M934" t="s">
        <v>167</v>
      </c>
      <c r="O934" t="s">
        <v>167</v>
      </c>
      <c r="Q934" t="s">
        <v>167</v>
      </c>
      <c r="S934" t="s">
        <v>167</v>
      </c>
      <c r="U934" t="s">
        <v>167</v>
      </c>
      <c r="W934" t="s">
        <v>167</v>
      </c>
      <c r="Y934" t="s">
        <v>167</v>
      </c>
    </row>
    <row r="935">
      <c r="G935" t="s">
        <v>167</v>
      </c>
      <c r="I935" t="s">
        <v>167</v>
      </c>
      <c r="K935" t="s">
        <v>167</v>
      </c>
      <c r="M935" t="s">
        <v>167</v>
      </c>
      <c r="O935" t="s">
        <v>167</v>
      </c>
      <c r="Q935" t="s">
        <v>167</v>
      </c>
      <c r="S935" t="s">
        <v>167</v>
      </c>
      <c r="U935" t="s">
        <v>167</v>
      </c>
      <c r="W935" t="s">
        <v>167</v>
      </c>
      <c r="Y935" t="s">
        <v>167</v>
      </c>
    </row>
    <row r="936">
      <c r="G936" t="s">
        <v>167</v>
      </c>
      <c r="I936" t="s">
        <v>167</v>
      </c>
      <c r="K936" t="s">
        <v>167</v>
      </c>
      <c r="M936" t="s">
        <v>167</v>
      </c>
      <c r="O936" t="s">
        <v>167</v>
      </c>
      <c r="Q936" t="s">
        <v>167</v>
      </c>
      <c r="S936" t="s">
        <v>167</v>
      </c>
      <c r="U936" t="s">
        <v>167</v>
      </c>
      <c r="W936" t="s">
        <v>167</v>
      </c>
      <c r="Y936" t="s">
        <v>167</v>
      </c>
    </row>
    <row r="937">
      <c r="G937" t="s">
        <v>167</v>
      </c>
      <c r="I937" t="s">
        <v>167</v>
      </c>
      <c r="K937" t="s">
        <v>167</v>
      </c>
      <c r="M937" t="s">
        <v>167</v>
      </c>
      <c r="O937" t="s">
        <v>167</v>
      </c>
      <c r="Q937" t="s">
        <v>167</v>
      </c>
      <c r="S937" t="s">
        <v>167</v>
      </c>
      <c r="U937" t="s">
        <v>167</v>
      </c>
      <c r="W937" t="s">
        <v>167</v>
      </c>
      <c r="Y937" t="s">
        <v>167</v>
      </c>
    </row>
    <row r="938">
      <c r="G938" t="s">
        <v>167</v>
      </c>
      <c r="I938" t="s">
        <v>167</v>
      </c>
      <c r="K938" t="s">
        <v>167</v>
      </c>
      <c r="M938" t="s">
        <v>167</v>
      </c>
      <c r="O938" t="s">
        <v>167</v>
      </c>
      <c r="Q938" t="s">
        <v>167</v>
      </c>
      <c r="S938" t="s">
        <v>167</v>
      </c>
      <c r="U938" t="s">
        <v>167</v>
      </c>
      <c r="W938" t="s">
        <v>167</v>
      </c>
      <c r="Y938" t="s">
        <v>167</v>
      </c>
    </row>
    <row r="939">
      <c r="G939" t="s">
        <v>167</v>
      </c>
      <c r="I939" t="s">
        <v>167</v>
      </c>
      <c r="K939" t="s">
        <v>167</v>
      </c>
      <c r="M939" t="s">
        <v>167</v>
      </c>
      <c r="O939" t="s">
        <v>167</v>
      </c>
      <c r="Q939" t="s">
        <v>167</v>
      </c>
      <c r="S939" t="s">
        <v>167</v>
      </c>
      <c r="U939" t="s">
        <v>167</v>
      </c>
      <c r="W939" t="s">
        <v>167</v>
      </c>
      <c r="Y939" t="s">
        <v>167</v>
      </c>
    </row>
    <row r="940">
      <c r="G940" t="s">
        <v>167</v>
      </c>
      <c r="I940" t="s">
        <v>167</v>
      </c>
      <c r="K940" t="s">
        <v>167</v>
      </c>
      <c r="M940" t="s">
        <v>167</v>
      </c>
      <c r="O940" t="s">
        <v>167</v>
      </c>
      <c r="Q940" t="s">
        <v>167</v>
      </c>
      <c r="S940" t="s">
        <v>167</v>
      </c>
      <c r="U940" t="s">
        <v>167</v>
      </c>
      <c r="W940" t="s">
        <v>167</v>
      </c>
      <c r="Y940" t="s">
        <v>167</v>
      </c>
    </row>
    <row r="941">
      <c r="G941" t="s">
        <v>167</v>
      </c>
      <c r="I941" t="s">
        <v>167</v>
      </c>
      <c r="K941" t="s">
        <v>167</v>
      </c>
      <c r="M941" t="s">
        <v>167</v>
      </c>
      <c r="O941" t="s">
        <v>167</v>
      </c>
      <c r="Q941" t="s">
        <v>167</v>
      </c>
      <c r="S941" t="s">
        <v>167</v>
      </c>
      <c r="U941" t="s">
        <v>167</v>
      </c>
      <c r="W941" t="s">
        <v>167</v>
      </c>
      <c r="Y941" t="s">
        <v>167</v>
      </c>
    </row>
    <row r="942">
      <c r="G942" t="s">
        <v>167</v>
      </c>
      <c r="I942" t="s">
        <v>167</v>
      </c>
      <c r="K942" t="s">
        <v>167</v>
      </c>
      <c r="M942" t="s">
        <v>167</v>
      </c>
      <c r="O942" t="s">
        <v>167</v>
      </c>
      <c r="Q942" t="s">
        <v>167</v>
      </c>
      <c r="S942" t="s">
        <v>167</v>
      </c>
      <c r="U942" t="s">
        <v>167</v>
      </c>
      <c r="W942" t="s">
        <v>167</v>
      </c>
      <c r="Y942" t="s">
        <v>167</v>
      </c>
    </row>
    <row r="943">
      <c r="G943" t="s">
        <v>167</v>
      </c>
      <c r="I943" t="s">
        <v>167</v>
      </c>
      <c r="K943" t="s">
        <v>167</v>
      </c>
      <c r="M943" t="s">
        <v>167</v>
      </c>
      <c r="O943" t="s">
        <v>167</v>
      </c>
      <c r="Q943" t="s">
        <v>167</v>
      </c>
      <c r="S943" t="s">
        <v>167</v>
      </c>
      <c r="U943" t="s">
        <v>167</v>
      </c>
      <c r="W943" t="s">
        <v>167</v>
      </c>
      <c r="Y943" t="s">
        <v>167</v>
      </c>
    </row>
    <row r="944">
      <c r="G944" t="s">
        <v>167</v>
      </c>
      <c r="I944" t="s">
        <v>167</v>
      </c>
      <c r="K944" t="s">
        <v>167</v>
      </c>
      <c r="M944" t="s">
        <v>167</v>
      </c>
      <c r="O944" t="s">
        <v>167</v>
      </c>
      <c r="Q944" t="s">
        <v>167</v>
      </c>
      <c r="S944" t="s">
        <v>167</v>
      </c>
      <c r="U944" t="s">
        <v>167</v>
      </c>
      <c r="W944" t="s">
        <v>167</v>
      </c>
      <c r="Y944" t="s">
        <v>167</v>
      </c>
    </row>
    <row r="945">
      <c r="G945" t="s">
        <v>167</v>
      </c>
      <c r="I945" t="s">
        <v>167</v>
      </c>
      <c r="K945" t="s">
        <v>167</v>
      </c>
      <c r="M945" t="s">
        <v>167</v>
      </c>
      <c r="O945" t="s">
        <v>167</v>
      </c>
      <c r="Q945" t="s">
        <v>167</v>
      </c>
      <c r="S945" t="s">
        <v>167</v>
      </c>
      <c r="U945" t="s">
        <v>167</v>
      </c>
      <c r="W945" t="s">
        <v>167</v>
      </c>
      <c r="Y945" t="s">
        <v>167</v>
      </c>
    </row>
    <row r="946">
      <c r="G946" t="s">
        <v>167</v>
      </c>
      <c r="I946" t="s">
        <v>167</v>
      </c>
      <c r="K946" t="s">
        <v>167</v>
      </c>
      <c r="M946" t="s">
        <v>167</v>
      </c>
      <c r="O946" t="s">
        <v>167</v>
      </c>
      <c r="Q946" t="s">
        <v>167</v>
      </c>
      <c r="S946" t="s">
        <v>167</v>
      </c>
      <c r="U946" t="s">
        <v>167</v>
      </c>
      <c r="W946" t="s">
        <v>167</v>
      </c>
      <c r="Y946" t="s">
        <v>167</v>
      </c>
    </row>
    <row r="947">
      <c r="G947" t="s">
        <v>167</v>
      </c>
      <c r="I947" t="s">
        <v>167</v>
      </c>
      <c r="K947" t="s">
        <v>167</v>
      </c>
      <c r="M947" t="s">
        <v>167</v>
      </c>
      <c r="O947" t="s">
        <v>167</v>
      </c>
      <c r="Q947" t="s">
        <v>167</v>
      </c>
      <c r="S947" t="s">
        <v>167</v>
      </c>
      <c r="U947" t="s">
        <v>167</v>
      </c>
      <c r="W947" t="s">
        <v>167</v>
      </c>
      <c r="Y947" t="s">
        <v>167</v>
      </c>
    </row>
    <row r="948">
      <c r="G948" t="s">
        <v>167</v>
      </c>
      <c r="I948" t="s">
        <v>167</v>
      </c>
      <c r="K948" t="s">
        <v>167</v>
      </c>
      <c r="M948" t="s">
        <v>167</v>
      </c>
      <c r="O948" t="s">
        <v>167</v>
      </c>
      <c r="Q948" t="s">
        <v>167</v>
      </c>
      <c r="S948" t="s">
        <v>167</v>
      </c>
      <c r="U948" t="s">
        <v>167</v>
      </c>
      <c r="W948" t="s">
        <v>167</v>
      </c>
      <c r="Y948" t="s">
        <v>167</v>
      </c>
    </row>
    <row r="949">
      <c r="G949" t="s">
        <v>167</v>
      </c>
      <c r="I949" t="s">
        <v>167</v>
      </c>
      <c r="K949" t="s">
        <v>167</v>
      </c>
      <c r="M949" t="s">
        <v>167</v>
      </c>
      <c r="O949" t="s">
        <v>167</v>
      </c>
      <c r="Q949" t="s">
        <v>167</v>
      </c>
      <c r="S949" t="s">
        <v>167</v>
      </c>
      <c r="U949" t="s">
        <v>167</v>
      </c>
      <c r="W949" t="s">
        <v>167</v>
      </c>
      <c r="Y949" t="s">
        <v>167</v>
      </c>
    </row>
    <row r="950">
      <c r="G950" t="s">
        <v>167</v>
      </c>
      <c r="I950" t="s">
        <v>167</v>
      </c>
      <c r="K950" t="s">
        <v>167</v>
      </c>
      <c r="M950" t="s">
        <v>167</v>
      </c>
      <c r="O950" t="s">
        <v>167</v>
      </c>
      <c r="Q950" t="s">
        <v>167</v>
      </c>
      <c r="S950" t="s">
        <v>167</v>
      </c>
      <c r="U950" t="s">
        <v>167</v>
      </c>
      <c r="W950" t="s">
        <v>167</v>
      </c>
      <c r="Y950" t="s">
        <v>167</v>
      </c>
    </row>
    <row r="951">
      <c r="G951" t="s">
        <v>167</v>
      </c>
      <c r="I951" t="s">
        <v>167</v>
      </c>
      <c r="K951" t="s">
        <v>167</v>
      </c>
      <c r="M951" t="s">
        <v>167</v>
      </c>
      <c r="O951" t="s">
        <v>167</v>
      </c>
      <c r="Q951" t="s">
        <v>167</v>
      </c>
      <c r="S951" t="s">
        <v>167</v>
      </c>
      <c r="U951" t="s">
        <v>167</v>
      </c>
      <c r="W951" t="s">
        <v>167</v>
      </c>
      <c r="Y951" t="s">
        <v>167</v>
      </c>
    </row>
    <row r="952">
      <c r="G952" t="s">
        <v>167</v>
      </c>
      <c r="I952" t="s">
        <v>167</v>
      </c>
      <c r="K952" t="s">
        <v>167</v>
      </c>
      <c r="M952" t="s">
        <v>167</v>
      </c>
      <c r="O952" t="s">
        <v>167</v>
      </c>
      <c r="Q952" t="s">
        <v>167</v>
      </c>
      <c r="S952" t="s">
        <v>167</v>
      </c>
      <c r="U952" t="s">
        <v>167</v>
      </c>
      <c r="W952" t="s">
        <v>167</v>
      </c>
      <c r="Y952" t="s">
        <v>167</v>
      </c>
    </row>
    <row r="953">
      <c r="G953" t="s">
        <v>167</v>
      </c>
      <c r="I953" t="s">
        <v>167</v>
      </c>
      <c r="K953" t="s">
        <v>167</v>
      </c>
      <c r="M953" t="s">
        <v>167</v>
      </c>
      <c r="O953" t="s">
        <v>167</v>
      </c>
      <c r="Q953" t="s">
        <v>167</v>
      </c>
      <c r="S953" t="s">
        <v>167</v>
      </c>
      <c r="U953" t="s">
        <v>167</v>
      </c>
      <c r="W953" t="s">
        <v>167</v>
      </c>
      <c r="Y953" t="s">
        <v>167</v>
      </c>
    </row>
    <row r="954">
      <c r="G954" t="s">
        <v>167</v>
      </c>
      <c r="I954" t="s">
        <v>167</v>
      </c>
      <c r="K954" t="s">
        <v>167</v>
      </c>
      <c r="M954" t="s">
        <v>167</v>
      </c>
      <c r="O954" t="s">
        <v>167</v>
      </c>
      <c r="Q954" t="s">
        <v>167</v>
      </c>
      <c r="S954" t="s">
        <v>167</v>
      </c>
      <c r="U954" t="s">
        <v>167</v>
      </c>
      <c r="W954" t="s">
        <v>167</v>
      </c>
      <c r="Y954" t="s">
        <v>167</v>
      </c>
    </row>
    <row r="955">
      <c r="G955" t="s">
        <v>167</v>
      </c>
      <c r="I955" t="s">
        <v>167</v>
      </c>
      <c r="K955" t="s">
        <v>167</v>
      </c>
      <c r="M955" t="s">
        <v>167</v>
      </c>
      <c r="O955" t="s">
        <v>167</v>
      </c>
      <c r="Q955" t="s">
        <v>167</v>
      </c>
      <c r="S955" t="s">
        <v>167</v>
      </c>
      <c r="U955" t="s">
        <v>167</v>
      </c>
      <c r="W955" t="s">
        <v>167</v>
      </c>
      <c r="Y955" t="s">
        <v>167</v>
      </c>
    </row>
    <row r="956">
      <c r="G956" t="s">
        <v>167</v>
      </c>
      <c r="I956" t="s">
        <v>167</v>
      </c>
      <c r="K956" t="s">
        <v>167</v>
      </c>
      <c r="M956" t="s">
        <v>167</v>
      </c>
      <c r="O956" t="s">
        <v>167</v>
      </c>
      <c r="Q956" t="s">
        <v>167</v>
      </c>
      <c r="S956" t="s">
        <v>167</v>
      </c>
      <c r="U956" t="s">
        <v>167</v>
      </c>
      <c r="W956" t="s">
        <v>167</v>
      </c>
      <c r="Y956" t="s">
        <v>167</v>
      </c>
    </row>
    <row r="957">
      <c r="G957" t="s">
        <v>167</v>
      </c>
      <c r="I957" t="s">
        <v>167</v>
      </c>
      <c r="K957" t="s">
        <v>167</v>
      </c>
      <c r="M957" t="s">
        <v>167</v>
      </c>
      <c r="O957" t="s">
        <v>167</v>
      </c>
      <c r="Q957" t="s">
        <v>167</v>
      </c>
      <c r="S957" t="s">
        <v>167</v>
      </c>
      <c r="U957" t="s">
        <v>167</v>
      </c>
      <c r="W957" t="s">
        <v>167</v>
      </c>
      <c r="Y957" t="s">
        <v>167</v>
      </c>
    </row>
    <row r="958">
      <c r="G958" t="s">
        <v>167</v>
      </c>
      <c r="I958" t="s">
        <v>167</v>
      </c>
      <c r="K958" t="s">
        <v>167</v>
      </c>
      <c r="M958" t="s">
        <v>167</v>
      </c>
      <c r="O958" t="s">
        <v>167</v>
      </c>
      <c r="Q958" t="s">
        <v>167</v>
      </c>
      <c r="S958" t="s">
        <v>167</v>
      </c>
      <c r="U958" t="s">
        <v>167</v>
      </c>
      <c r="W958" t="s">
        <v>167</v>
      </c>
      <c r="Y958" t="s">
        <v>167</v>
      </c>
    </row>
    <row r="959">
      <c r="G959" t="s">
        <v>167</v>
      </c>
      <c r="I959" t="s">
        <v>167</v>
      </c>
      <c r="K959" t="s">
        <v>167</v>
      </c>
      <c r="M959" t="s">
        <v>167</v>
      </c>
      <c r="O959" t="s">
        <v>167</v>
      </c>
      <c r="Q959" t="s">
        <v>167</v>
      </c>
      <c r="S959" t="s">
        <v>167</v>
      </c>
      <c r="U959" t="s">
        <v>167</v>
      </c>
      <c r="W959" t="s">
        <v>167</v>
      </c>
      <c r="Y959" t="s">
        <v>167</v>
      </c>
    </row>
    <row r="960">
      <c r="G960" t="s">
        <v>167</v>
      </c>
      <c r="I960" t="s">
        <v>167</v>
      </c>
      <c r="K960" t="s">
        <v>167</v>
      </c>
      <c r="M960" t="s">
        <v>167</v>
      </c>
      <c r="O960" t="s">
        <v>167</v>
      </c>
      <c r="Q960" t="s">
        <v>167</v>
      </c>
      <c r="S960" t="s">
        <v>167</v>
      </c>
      <c r="U960" t="s">
        <v>167</v>
      </c>
      <c r="W960" t="s">
        <v>167</v>
      </c>
      <c r="Y960" t="s">
        <v>167</v>
      </c>
    </row>
    <row r="961">
      <c r="G961" t="s">
        <v>167</v>
      </c>
      <c r="I961" t="s">
        <v>167</v>
      </c>
      <c r="K961" t="s">
        <v>167</v>
      </c>
      <c r="M961" t="s">
        <v>167</v>
      </c>
      <c r="O961" t="s">
        <v>167</v>
      </c>
      <c r="Q961" t="s">
        <v>167</v>
      </c>
      <c r="S961" t="s">
        <v>167</v>
      </c>
      <c r="U961" t="s">
        <v>167</v>
      </c>
      <c r="W961" t="s">
        <v>167</v>
      </c>
      <c r="Y961" t="s">
        <v>167</v>
      </c>
    </row>
    <row r="962">
      <c r="G962" t="s">
        <v>167</v>
      </c>
      <c r="I962" t="s">
        <v>167</v>
      </c>
      <c r="K962" t="s">
        <v>167</v>
      </c>
      <c r="M962" t="s">
        <v>167</v>
      </c>
      <c r="O962" t="s">
        <v>167</v>
      </c>
      <c r="Q962" t="s">
        <v>167</v>
      </c>
      <c r="S962" t="s">
        <v>167</v>
      </c>
      <c r="U962" t="s">
        <v>167</v>
      </c>
      <c r="W962" t="s">
        <v>167</v>
      </c>
      <c r="Y962" t="s">
        <v>167</v>
      </c>
    </row>
    <row r="963">
      <c r="G963" t="s">
        <v>167</v>
      </c>
      <c r="I963" t="s">
        <v>167</v>
      </c>
      <c r="K963" t="s">
        <v>167</v>
      </c>
      <c r="M963" t="s">
        <v>167</v>
      </c>
      <c r="O963" t="s">
        <v>167</v>
      </c>
      <c r="Q963" t="s">
        <v>167</v>
      </c>
      <c r="S963" t="s">
        <v>167</v>
      </c>
      <c r="U963" t="s">
        <v>167</v>
      </c>
      <c r="W963" t="s">
        <v>167</v>
      </c>
      <c r="Y963" t="s">
        <v>167</v>
      </c>
    </row>
    <row r="964">
      <c r="G964" t="s">
        <v>167</v>
      </c>
      <c r="I964" t="s">
        <v>167</v>
      </c>
      <c r="K964" t="s">
        <v>167</v>
      </c>
      <c r="M964" t="s">
        <v>167</v>
      </c>
      <c r="O964" t="s">
        <v>167</v>
      </c>
      <c r="Q964" t="s">
        <v>167</v>
      </c>
      <c r="S964" t="s">
        <v>167</v>
      </c>
      <c r="U964" t="s">
        <v>167</v>
      </c>
      <c r="W964" t="s">
        <v>167</v>
      </c>
      <c r="Y964" t="s">
        <v>167</v>
      </c>
    </row>
    <row r="965">
      <c r="G965" t="s">
        <v>167</v>
      </c>
      <c r="I965" t="s">
        <v>167</v>
      </c>
      <c r="K965" t="s">
        <v>167</v>
      </c>
      <c r="M965" t="s">
        <v>167</v>
      </c>
      <c r="O965" t="s">
        <v>167</v>
      </c>
      <c r="Q965" t="s">
        <v>167</v>
      </c>
      <c r="S965" t="s">
        <v>167</v>
      </c>
      <c r="U965" t="s">
        <v>167</v>
      </c>
      <c r="W965" t="s">
        <v>167</v>
      </c>
      <c r="Y965" t="s">
        <v>167</v>
      </c>
    </row>
    <row r="966">
      <c r="G966" t="s">
        <v>167</v>
      </c>
      <c r="I966" t="s">
        <v>167</v>
      </c>
      <c r="K966" t="s">
        <v>167</v>
      </c>
      <c r="M966" t="s">
        <v>167</v>
      </c>
      <c r="O966" t="s">
        <v>167</v>
      </c>
      <c r="Q966" t="s">
        <v>167</v>
      </c>
      <c r="S966" t="s">
        <v>167</v>
      </c>
      <c r="U966" t="s">
        <v>167</v>
      </c>
      <c r="W966" t="s">
        <v>167</v>
      </c>
      <c r="Y966" t="s">
        <v>167</v>
      </c>
    </row>
    <row r="967">
      <c r="G967" t="s">
        <v>167</v>
      </c>
      <c r="I967" t="s">
        <v>167</v>
      </c>
      <c r="K967" t="s">
        <v>167</v>
      </c>
      <c r="M967" t="s">
        <v>167</v>
      </c>
      <c r="O967" t="s">
        <v>167</v>
      </c>
      <c r="Q967" t="s">
        <v>167</v>
      </c>
      <c r="S967" t="s">
        <v>167</v>
      </c>
      <c r="U967" t="s">
        <v>167</v>
      </c>
      <c r="W967" t="s">
        <v>167</v>
      </c>
      <c r="Y967" t="s">
        <v>167</v>
      </c>
    </row>
    <row r="968">
      <c r="G968" t="s">
        <v>167</v>
      </c>
      <c r="I968" t="s">
        <v>167</v>
      </c>
      <c r="K968" t="s">
        <v>167</v>
      </c>
      <c r="M968" t="s">
        <v>167</v>
      </c>
      <c r="O968" t="s">
        <v>167</v>
      </c>
      <c r="Q968" t="s">
        <v>167</v>
      </c>
      <c r="S968" t="s">
        <v>167</v>
      </c>
      <c r="U968" t="s">
        <v>167</v>
      </c>
      <c r="W968" t="s">
        <v>167</v>
      </c>
      <c r="Y968" t="s">
        <v>167</v>
      </c>
    </row>
    <row r="969">
      <c r="G969" t="s">
        <v>167</v>
      </c>
      <c r="I969" t="s">
        <v>167</v>
      </c>
      <c r="K969" t="s">
        <v>167</v>
      </c>
      <c r="M969" t="s">
        <v>167</v>
      </c>
      <c r="O969" t="s">
        <v>167</v>
      </c>
      <c r="Q969" t="s">
        <v>167</v>
      </c>
      <c r="S969" t="s">
        <v>167</v>
      </c>
      <c r="U969" t="s">
        <v>167</v>
      </c>
      <c r="W969" t="s">
        <v>167</v>
      </c>
      <c r="Y969" t="s">
        <v>167</v>
      </c>
    </row>
    <row r="970">
      <c r="G970" t="s">
        <v>167</v>
      </c>
      <c r="I970" t="s">
        <v>167</v>
      </c>
      <c r="K970" t="s">
        <v>167</v>
      </c>
      <c r="M970" t="s">
        <v>167</v>
      </c>
      <c r="O970" t="s">
        <v>167</v>
      </c>
      <c r="Q970" t="s">
        <v>167</v>
      </c>
      <c r="S970" t="s">
        <v>167</v>
      </c>
      <c r="U970" t="s">
        <v>167</v>
      </c>
      <c r="W970" t="s">
        <v>167</v>
      </c>
      <c r="Y970" t="s">
        <v>167</v>
      </c>
    </row>
    <row r="971">
      <c r="G971" t="s">
        <v>167</v>
      </c>
      <c r="I971" t="s">
        <v>167</v>
      </c>
      <c r="K971" t="s">
        <v>167</v>
      </c>
      <c r="M971" t="s">
        <v>167</v>
      </c>
      <c r="O971" t="s">
        <v>167</v>
      </c>
      <c r="Q971" t="s">
        <v>167</v>
      </c>
      <c r="S971" t="s">
        <v>167</v>
      </c>
      <c r="U971" t="s">
        <v>167</v>
      </c>
      <c r="W971" t="s">
        <v>167</v>
      </c>
      <c r="Y971" t="s">
        <v>167</v>
      </c>
    </row>
    <row r="972">
      <c r="G972" t="s">
        <v>167</v>
      </c>
      <c r="I972" t="s">
        <v>167</v>
      </c>
      <c r="K972" t="s">
        <v>167</v>
      </c>
      <c r="M972" t="s">
        <v>167</v>
      </c>
      <c r="O972" t="s">
        <v>167</v>
      </c>
      <c r="Q972" t="s">
        <v>167</v>
      </c>
      <c r="S972" t="s">
        <v>167</v>
      </c>
      <c r="U972" t="s">
        <v>167</v>
      </c>
      <c r="W972" t="s">
        <v>167</v>
      </c>
      <c r="Y972" t="s">
        <v>167</v>
      </c>
    </row>
    <row r="973">
      <c r="G973" t="s">
        <v>167</v>
      </c>
      <c r="I973" t="s">
        <v>167</v>
      </c>
      <c r="K973" t="s">
        <v>167</v>
      </c>
      <c r="M973" t="s">
        <v>167</v>
      </c>
      <c r="O973" t="s">
        <v>167</v>
      </c>
      <c r="Q973" t="s">
        <v>167</v>
      </c>
      <c r="S973" t="s">
        <v>167</v>
      </c>
      <c r="U973" t="s">
        <v>167</v>
      </c>
      <c r="W973" t="s">
        <v>167</v>
      </c>
      <c r="Y973" t="s">
        <v>167</v>
      </c>
    </row>
    <row r="974">
      <c r="G974" t="s">
        <v>167</v>
      </c>
      <c r="I974" t="s">
        <v>167</v>
      </c>
      <c r="K974" t="s">
        <v>167</v>
      </c>
      <c r="M974" t="s">
        <v>167</v>
      </c>
      <c r="O974" t="s">
        <v>167</v>
      </c>
      <c r="Q974" t="s">
        <v>167</v>
      </c>
      <c r="S974" t="s">
        <v>167</v>
      </c>
      <c r="U974" t="s">
        <v>167</v>
      </c>
      <c r="W974" t="s">
        <v>167</v>
      </c>
      <c r="Y974" t="s">
        <v>167</v>
      </c>
    </row>
    <row r="975">
      <c r="G975" t="s">
        <v>167</v>
      </c>
      <c r="I975" t="s">
        <v>167</v>
      </c>
      <c r="K975" t="s">
        <v>167</v>
      </c>
      <c r="M975" t="s">
        <v>167</v>
      </c>
      <c r="O975" t="s">
        <v>167</v>
      </c>
      <c r="Q975" t="s">
        <v>167</v>
      </c>
      <c r="S975" t="s">
        <v>167</v>
      </c>
      <c r="U975" t="s">
        <v>167</v>
      </c>
      <c r="W975" t="s">
        <v>167</v>
      </c>
      <c r="Y975" t="s">
        <v>167</v>
      </c>
    </row>
    <row r="976">
      <c r="G976" t="s">
        <v>167</v>
      </c>
      <c r="I976" t="s">
        <v>167</v>
      </c>
      <c r="K976" t="s">
        <v>167</v>
      </c>
      <c r="M976" t="s">
        <v>167</v>
      </c>
      <c r="O976" t="s">
        <v>167</v>
      </c>
      <c r="Q976" t="s">
        <v>167</v>
      </c>
      <c r="S976" t="s">
        <v>167</v>
      </c>
      <c r="U976" t="s">
        <v>167</v>
      </c>
      <c r="W976" t="s">
        <v>167</v>
      </c>
      <c r="Y976" t="s">
        <v>167</v>
      </c>
    </row>
    <row r="977">
      <c r="G977" t="s">
        <v>167</v>
      </c>
      <c r="I977" t="s">
        <v>167</v>
      </c>
      <c r="K977" t="s">
        <v>167</v>
      </c>
      <c r="M977" t="s">
        <v>167</v>
      </c>
      <c r="O977" t="s">
        <v>167</v>
      </c>
      <c r="Q977" t="s">
        <v>167</v>
      </c>
      <c r="S977" t="s">
        <v>167</v>
      </c>
      <c r="U977" t="s">
        <v>167</v>
      </c>
      <c r="W977" t="s">
        <v>167</v>
      </c>
      <c r="Y977" t="s">
        <v>167</v>
      </c>
    </row>
    <row r="978">
      <c r="G978" t="s">
        <v>167</v>
      </c>
      <c r="I978" t="s">
        <v>167</v>
      </c>
      <c r="K978" t="s">
        <v>167</v>
      </c>
      <c r="M978" t="s">
        <v>167</v>
      </c>
      <c r="O978" t="s">
        <v>167</v>
      </c>
      <c r="Q978" t="s">
        <v>167</v>
      </c>
      <c r="S978" t="s">
        <v>167</v>
      </c>
      <c r="U978" t="s">
        <v>167</v>
      </c>
      <c r="W978" t="s">
        <v>167</v>
      </c>
      <c r="Y978" t="s">
        <v>167</v>
      </c>
    </row>
    <row r="979">
      <c r="G979" t="s">
        <v>167</v>
      </c>
      <c r="I979" t="s">
        <v>167</v>
      </c>
      <c r="K979" t="s">
        <v>167</v>
      </c>
      <c r="M979" t="s">
        <v>167</v>
      </c>
      <c r="O979" t="s">
        <v>167</v>
      </c>
      <c r="Q979" t="s">
        <v>167</v>
      </c>
      <c r="S979" t="s">
        <v>167</v>
      </c>
      <c r="U979" t="s">
        <v>167</v>
      </c>
      <c r="W979" t="s">
        <v>167</v>
      </c>
      <c r="Y979" t="s">
        <v>167</v>
      </c>
    </row>
    <row r="980">
      <c r="G980" t="s">
        <v>167</v>
      </c>
      <c r="I980" t="s">
        <v>167</v>
      </c>
      <c r="K980" t="s">
        <v>167</v>
      </c>
      <c r="M980" t="s">
        <v>167</v>
      </c>
      <c r="O980" t="s">
        <v>167</v>
      </c>
      <c r="Q980" t="s">
        <v>167</v>
      </c>
      <c r="S980" t="s">
        <v>167</v>
      </c>
      <c r="U980" t="s">
        <v>167</v>
      </c>
      <c r="W980" t="s">
        <v>167</v>
      </c>
      <c r="Y980" t="s">
        <v>167</v>
      </c>
    </row>
    <row r="981">
      <c r="G981" t="s">
        <v>167</v>
      </c>
      <c r="I981" t="s">
        <v>167</v>
      </c>
      <c r="K981" t="s">
        <v>167</v>
      </c>
      <c r="M981" t="s">
        <v>167</v>
      </c>
      <c r="O981" t="s">
        <v>167</v>
      </c>
      <c r="Q981" t="s">
        <v>167</v>
      </c>
      <c r="S981" t="s">
        <v>167</v>
      </c>
      <c r="U981" t="s">
        <v>167</v>
      </c>
      <c r="W981" t="s">
        <v>167</v>
      </c>
      <c r="Y981" t="s">
        <v>167</v>
      </c>
    </row>
    <row r="982">
      <c r="G982" t="s">
        <v>167</v>
      </c>
      <c r="I982" t="s">
        <v>167</v>
      </c>
      <c r="K982" t="s">
        <v>167</v>
      </c>
      <c r="M982" t="s">
        <v>167</v>
      </c>
      <c r="O982" t="s">
        <v>167</v>
      </c>
      <c r="Q982" t="s">
        <v>167</v>
      </c>
      <c r="S982" t="s">
        <v>167</v>
      </c>
      <c r="U982" t="s">
        <v>167</v>
      </c>
      <c r="W982" t="s">
        <v>167</v>
      </c>
      <c r="Y982" t="s">
        <v>167</v>
      </c>
    </row>
    <row r="983">
      <c r="G983" t="s">
        <v>167</v>
      </c>
      <c r="I983" t="s">
        <v>167</v>
      </c>
      <c r="K983" t="s">
        <v>167</v>
      </c>
      <c r="M983" t="s">
        <v>167</v>
      </c>
      <c r="O983" t="s">
        <v>167</v>
      </c>
      <c r="Q983" t="s">
        <v>167</v>
      </c>
      <c r="S983" t="s">
        <v>167</v>
      </c>
      <c r="U983" t="s">
        <v>167</v>
      </c>
      <c r="W983" t="s">
        <v>167</v>
      </c>
      <c r="Y983" t="s">
        <v>167</v>
      </c>
    </row>
    <row r="984">
      <c r="G984" t="s">
        <v>167</v>
      </c>
      <c r="I984" t="s">
        <v>167</v>
      </c>
      <c r="K984" t="s">
        <v>167</v>
      </c>
      <c r="M984" t="s">
        <v>167</v>
      </c>
      <c r="O984" t="s">
        <v>167</v>
      </c>
      <c r="Q984" t="s">
        <v>167</v>
      </c>
      <c r="S984" t="s">
        <v>167</v>
      </c>
      <c r="U984" t="s">
        <v>167</v>
      </c>
      <c r="W984" t="s">
        <v>167</v>
      </c>
      <c r="Y984" t="s">
        <v>167</v>
      </c>
    </row>
    <row r="985">
      <c r="G985" t="s">
        <v>167</v>
      </c>
      <c r="I985" t="s">
        <v>167</v>
      </c>
      <c r="K985" t="s">
        <v>167</v>
      </c>
      <c r="M985" t="s">
        <v>167</v>
      </c>
      <c r="O985" t="s">
        <v>167</v>
      </c>
      <c r="Q985" t="s">
        <v>167</v>
      </c>
      <c r="S985" t="s">
        <v>167</v>
      </c>
      <c r="U985" t="s">
        <v>167</v>
      </c>
      <c r="W985" t="s">
        <v>167</v>
      </c>
      <c r="Y985" t="s">
        <v>167</v>
      </c>
    </row>
    <row r="986">
      <c r="G986" t="s">
        <v>167</v>
      </c>
      <c r="I986" t="s">
        <v>167</v>
      </c>
      <c r="K986" t="s">
        <v>167</v>
      </c>
      <c r="M986" t="s">
        <v>167</v>
      </c>
      <c r="O986" t="s">
        <v>167</v>
      </c>
      <c r="Q986" t="s">
        <v>167</v>
      </c>
      <c r="S986" t="s">
        <v>167</v>
      </c>
      <c r="U986" t="s">
        <v>167</v>
      </c>
      <c r="W986" t="s">
        <v>167</v>
      </c>
      <c r="Y986" t="s">
        <v>167</v>
      </c>
    </row>
    <row r="987">
      <c r="G987" t="s">
        <v>167</v>
      </c>
      <c r="I987" t="s">
        <v>167</v>
      </c>
      <c r="K987" t="s">
        <v>167</v>
      </c>
      <c r="M987" t="s">
        <v>167</v>
      </c>
      <c r="O987" t="s">
        <v>167</v>
      </c>
      <c r="Q987" t="s">
        <v>167</v>
      </c>
      <c r="S987" t="s">
        <v>167</v>
      </c>
      <c r="U987" t="s">
        <v>167</v>
      </c>
      <c r="W987" t="s">
        <v>167</v>
      </c>
      <c r="Y987" t="s">
        <v>167</v>
      </c>
    </row>
    <row r="988">
      <c r="G988" t="s">
        <v>167</v>
      </c>
      <c r="I988" t="s">
        <v>167</v>
      </c>
      <c r="K988" t="s">
        <v>167</v>
      </c>
      <c r="M988" t="s">
        <v>167</v>
      </c>
      <c r="O988" t="s">
        <v>167</v>
      </c>
      <c r="Q988" t="s">
        <v>167</v>
      </c>
      <c r="S988" t="s">
        <v>167</v>
      </c>
      <c r="U988" t="s">
        <v>167</v>
      </c>
      <c r="W988" t="s">
        <v>167</v>
      </c>
      <c r="Y988" t="s">
        <v>167</v>
      </c>
    </row>
    <row r="989">
      <c r="G989" t="s">
        <v>167</v>
      </c>
      <c r="I989" t="s">
        <v>167</v>
      </c>
      <c r="K989" t="s">
        <v>167</v>
      </c>
      <c r="M989" t="s">
        <v>167</v>
      </c>
      <c r="O989" t="s">
        <v>167</v>
      </c>
      <c r="Q989" t="s">
        <v>167</v>
      </c>
      <c r="S989" t="s">
        <v>167</v>
      </c>
      <c r="U989" t="s">
        <v>167</v>
      </c>
      <c r="W989" t="s">
        <v>167</v>
      </c>
      <c r="Y989" t="s">
        <v>167</v>
      </c>
    </row>
    <row r="990">
      <c r="G990" t="s">
        <v>167</v>
      </c>
      <c r="I990" t="s">
        <v>167</v>
      </c>
      <c r="K990" t="s">
        <v>167</v>
      </c>
      <c r="M990" t="s">
        <v>167</v>
      </c>
      <c r="O990" t="s">
        <v>167</v>
      </c>
      <c r="Q990" t="s">
        <v>167</v>
      </c>
      <c r="S990" t="s">
        <v>167</v>
      </c>
      <c r="U990" t="s">
        <v>167</v>
      </c>
      <c r="W990" t="s">
        <v>167</v>
      </c>
      <c r="Y990" t="s">
        <v>167</v>
      </c>
    </row>
    <row r="991">
      <c r="G991" t="s">
        <v>167</v>
      </c>
      <c r="I991" t="s">
        <v>167</v>
      </c>
      <c r="K991" t="s">
        <v>167</v>
      </c>
      <c r="M991" t="s">
        <v>167</v>
      </c>
      <c r="O991" t="s">
        <v>167</v>
      </c>
      <c r="Q991" t="s">
        <v>167</v>
      </c>
      <c r="S991" t="s">
        <v>167</v>
      </c>
      <c r="U991" t="s">
        <v>167</v>
      </c>
      <c r="W991" t="s">
        <v>167</v>
      </c>
      <c r="Y991" t="s">
        <v>167</v>
      </c>
    </row>
    <row r="992">
      <c r="G992" t="s">
        <v>167</v>
      </c>
      <c r="I992" t="s">
        <v>167</v>
      </c>
      <c r="K992" t="s">
        <v>167</v>
      </c>
      <c r="M992" t="s">
        <v>167</v>
      </c>
      <c r="O992" t="s">
        <v>167</v>
      </c>
      <c r="Q992" t="s">
        <v>167</v>
      </c>
      <c r="S992" t="s">
        <v>167</v>
      </c>
      <c r="U992" t="s">
        <v>167</v>
      </c>
      <c r="W992" t="s">
        <v>167</v>
      </c>
      <c r="Y992" t="s">
        <v>167</v>
      </c>
    </row>
    <row r="993">
      <c r="G993" t="s">
        <v>167</v>
      </c>
      <c r="I993" t="s">
        <v>167</v>
      </c>
      <c r="K993" t="s">
        <v>167</v>
      </c>
      <c r="M993" t="s">
        <v>167</v>
      </c>
      <c r="O993" t="s">
        <v>167</v>
      </c>
      <c r="Q993" t="s">
        <v>167</v>
      </c>
      <c r="S993" t="s">
        <v>167</v>
      </c>
      <c r="U993" t="s">
        <v>167</v>
      </c>
      <c r="W993" t="s">
        <v>167</v>
      </c>
      <c r="Y993" t="s">
        <v>167</v>
      </c>
    </row>
    <row r="994">
      <c r="G994" t="s">
        <v>167</v>
      </c>
      <c r="I994" t="s">
        <v>167</v>
      </c>
      <c r="K994" t="s">
        <v>167</v>
      </c>
      <c r="M994" t="s">
        <v>167</v>
      </c>
      <c r="O994" t="s">
        <v>167</v>
      </c>
      <c r="Q994" t="s">
        <v>167</v>
      </c>
      <c r="S994" t="s">
        <v>167</v>
      </c>
      <c r="U994" t="s">
        <v>167</v>
      </c>
      <c r="W994" t="s">
        <v>167</v>
      </c>
      <c r="Y994" t="s">
        <v>167</v>
      </c>
    </row>
    <row r="995">
      <c r="G995" t="s">
        <v>167</v>
      </c>
      <c r="I995" t="s">
        <v>167</v>
      </c>
      <c r="K995" t="s">
        <v>167</v>
      </c>
      <c r="M995" t="s">
        <v>167</v>
      </c>
      <c r="O995" t="s">
        <v>167</v>
      </c>
      <c r="Q995" t="s">
        <v>167</v>
      </c>
      <c r="S995" t="s">
        <v>167</v>
      </c>
      <c r="U995" t="s">
        <v>167</v>
      </c>
      <c r="W995" t="s">
        <v>167</v>
      </c>
      <c r="Y995" t="s">
        <v>167</v>
      </c>
    </row>
    <row r="996">
      <c r="G996" t="s">
        <v>167</v>
      </c>
      <c r="I996" t="s">
        <v>167</v>
      </c>
      <c r="K996" t="s">
        <v>167</v>
      </c>
      <c r="M996" t="s">
        <v>167</v>
      </c>
      <c r="O996" t="s">
        <v>167</v>
      </c>
      <c r="Q996" t="s">
        <v>167</v>
      </c>
      <c r="S996" t="s">
        <v>167</v>
      </c>
      <c r="U996" t="s">
        <v>167</v>
      </c>
      <c r="W996" t="s">
        <v>167</v>
      </c>
      <c r="Y996" t="s">
        <v>167</v>
      </c>
    </row>
    <row r="997">
      <c r="G997" t="s">
        <v>167</v>
      </c>
      <c r="I997" t="s">
        <v>167</v>
      </c>
      <c r="K997" t="s">
        <v>167</v>
      </c>
      <c r="M997" t="s">
        <v>167</v>
      </c>
      <c r="O997" t="s">
        <v>167</v>
      </c>
      <c r="Q997" t="s">
        <v>167</v>
      </c>
      <c r="S997" t="s">
        <v>167</v>
      </c>
      <c r="U997" t="s">
        <v>167</v>
      </c>
      <c r="W997" t="s">
        <v>167</v>
      </c>
      <c r="Y997" t="s">
        <v>167</v>
      </c>
    </row>
    <row r="998">
      <c r="G998" t="s">
        <v>167</v>
      </c>
      <c r="I998" t="s">
        <v>167</v>
      </c>
      <c r="K998" t="s">
        <v>167</v>
      </c>
      <c r="M998" t="s">
        <v>167</v>
      </c>
      <c r="O998" t="s">
        <v>167</v>
      </c>
      <c r="Q998" t="s">
        <v>167</v>
      </c>
      <c r="S998" t="s">
        <v>167</v>
      </c>
      <c r="U998" t="s">
        <v>167</v>
      </c>
      <c r="W998" t="s">
        <v>167</v>
      </c>
      <c r="Y998" t="s">
        <v>167</v>
      </c>
    </row>
    <row r="999">
      <c r="G999" t="s">
        <v>167</v>
      </c>
      <c r="I999" t="s">
        <v>167</v>
      </c>
      <c r="K999" t="s">
        <v>167</v>
      </c>
      <c r="M999" t="s">
        <v>167</v>
      </c>
      <c r="O999" t="s">
        <v>167</v>
      </c>
      <c r="Q999" t="s">
        <v>167</v>
      </c>
      <c r="S999" t="s">
        <v>167</v>
      </c>
      <c r="U999" t="s">
        <v>167</v>
      </c>
      <c r="W999" t="s">
        <v>167</v>
      </c>
      <c r="Y999" t="s">
        <v>167</v>
      </c>
    </row>
    <row r="1000">
      <c r="G1000" t="s">
        <v>167</v>
      </c>
      <c r="I1000" t="s">
        <v>167</v>
      </c>
      <c r="K1000" t="s">
        <v>167</v>
      </c>
      <c r="M1000" t="s">
        <v>167</v>
      </c>
      <c r="O1000" t="s">
        <v>167</v>
      </c>
      <c r="Q1000" t="s">
        <v>167</v>
      </c>
      <c r="S1000" t="s">
        <v>167</v>
      </c>
      <c r="U1000" t="s">
        <v>167</v>
      </c>
      <c r="W1000" t="s">
        <v>167</v>
      </c>
      <c r="Y1000" t="s">
        <v>167</v>
      </c>
    </row>
    <row r="1001">
      <c r="G1001" t="s">
        <v>167</v>
      </c>
      <c r="I1001" t="s">
        <v>167</v>
      </c>
      <c r="K1001" t="s">
        <v>167</v>
      </c>
      <c r="M1001" t="s">
        <v>167</v>
      </c>
      <c r="O1001" t="s">
        <v>167</v>
      </c>
      <c r="Q1001" t="s">
        <v>167</v>
      </c>
      <c r="S1001" t="s">
        <v>167</v>
      </c>
      <c r="U1001" t="s">
        <v>167</v>
      </c>
      <c r="W1001" t="s">
        <v>167</v>
      </c>
      <c r="Y1001" t="s">
        <v>167</v>
      </c>
    </row>
  </sheetData>
  <conditionalFormatting sqref="D2 F2 H2 J2 L2 N2 P2 R2 T2 V2 X2 Z2 D4:D22 F4:F22 H4:H22 J4:J22 L4:L22 N4:N22 P4:P22 R4:R22 T4:T22 V4:V22 X4:X22 Z4:Z22">
    <cfRule type="expression" dxfId="0" priority="1">
      <formula>D2&gt;0</formula>
    </cfRule>
  </conditionalFormatting>
  <conditionalFormatting sqref="D2 F2 H2 J2 L2 N2 P2 R2 T2 V2 X2 Z2 D4:D22 F4:F22 H4:H22 J4:J22 L4:L22 N4:N22 P4:P22 R4:R22 T4:T22 V4:V22 X4:X22 Z4:Z22">
    <cfRule type="expression" dxfId="1" priority="2">
      <formula>D2&lt;=0</formula>
    </cfRule>
  </conditionalFormatting>
  <conditionalFormatting sqref="D22 F22 H22 J22 L22 N22 P22 R22 T22 V22 X22 Z22">
    <cfRule type="cellIs" dxfId="2" priority="3" operator="greaterThanOrEqual">
      <formula>0</formula>
    </cfRule>
  </conditionalFormatting>
  <conditionalFormatting sqref="D22 F22 H22 J22 L22 N22 P22 R22 T22 V22 X22 Z22">
    <cfRule type="cellIs" dxfId="3" priority="4" operator="lessThan">
      <formula>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4" max="4" width="16.25"/>
    <col customWidth="1" min="7" max="7" width="23.13"/>
    <col customWidth="1" min="9" max="9" width="25.0"/>
    <col customWidth="1" min="10" max="10" width="15.75"/>
  </cols>
  <sheetData>
    <row r="1">
      <c r="A1" s="256" t="s">
        <v>196</v>
      </c>
      <c r="B1" s="256" t="s">
        <v>197</v>
      </c>
      <c r="C1" s="256" t="s">
        <v>198</v>
      </c>
      <c r="D1" s="256" t="s">
        <v>199</v>
      </c>
      <c r="E1" s="256" t="s">
        <v>170</v>
      </c>
      <c r="F1" s="256" t="s">
        <v>200</v>
      </c>
      <c r="G1" s="256" t="s">
        <v>201</v>
      </c>
      <c r="I1" s="257" t="s">
        <v>202</v>
      </c>
      <c r="J1" s="168"/>
    </row>
    <row r="2">
      <c r="A2" s="258">
        <v>46111.0</v>
      </c>
      <c r="B2" s="259">
        <v>46112.0</v>
      </c>
      <c r="C2" s="260">
        <v>9518.0</v>
      </c>
      <c r="D2" s="260" t="s">
        <v>203</v>
      </c>
      <c r="E2" s="260" t="s">
        <v>72</v>
      </c>
      <c r="F2" s="260">
        <v>5.83</v>
      </c>
      <c r="G2" t="str">
        <f>IFERROR(VLOOKUP(TRIM(E2), 'Expense Category Mapping'!A:B, 2, FALSE), "Misc")</f>
        <v>Coffee</v>
      </c>
      <c r="I2" s="104"/>
      <c r="J2" s="168"/>
    </row>
    <row r="3">
      <c r="A3" s="258">
        <v>46111.0</v>
      </c>
      <c r="B3" s="259">
        <v>46112.0</v>
      </c>
      <c r="C3" s="260">
        <v>9518.0</v>
      </c>
      <c r="D3" s="260" t="s">
        <v>204</v>
      </c>
      <c r="E3" s="260" t="s">
        <v>205</v>
      </c>
      <c r="F3" s="260">
        <v>21.67</v>
      </c>
      <c r="G3" t="str">
        <f>IFERROR(VLOOKUP(TRIM(E3), 'Expense Category Mapping'!A:B, 2, FALSE), "Misc")</f>
        <v>Shopping</v>
      </c>
      <c r="I3" s="104"/>
      <c r="J3" s="168"/>
    </row>
    <row r="4">
      <c r="A4" s="258">
        <v>46110.0</v>
      </c>
      <c r="B4" s="259">
        <v>46112.0</v>
      </c>
      <c r="C4" s="260">
        <v>9518.0</v>
      </c>
      <c r="D4" s="260" t="s">
        <v>206</v>
      </c>
      <c r="E4" s="260" t="s">
        <v>207</v>
      </c>
      <c r="F4" s="260">
        <v>2.85</v>
      </c>
      <c r="G4" t="str">
        <f>IFERROR(VLOOKUP(TRIM(E4), 'Expense Category Mapping'!A:B, 2, FALSE), "Misc")</f>
        <v>Transportation</v>
      </c>
      <c r="I4" s="104" t="s">
        <v>208</v>
      </c>
      <c r="J4" s="168"/>
    </row>
    <row r="5">
      <c r="A5" s="258">
        <v>46111.0</v>
      </c>
      <c r="B5" s="259">
        <v>46112.0</v>
      </c>
      <c r="C5" s="260">
        <v>9518.0</v>
      </c>
      <c r="D5" s="260" t="s">
        <v>209</v>
      </c>
      <c r="E5" s="260" t="s">
        <v>207</v>
      </c>
      <c r="F5" s="260">
        <v>5.22</v>
      </c>
      <c r="G5" t="str">
        <f>IFERROR(VLOOKUP(TRIM(E5), 'Expense Category Mapping'!A:B, 2, FALSE), "Misc")</f>
        <v>Transportation</v>
      </c>
      <c r="I5" s="260" t="s">
        <v>210</v>
      </c>
      <c r="J5" s="260" t="s">
        <v>136</v>
      </c>
      <c r="K5" s="261" t="s">
        <v>211</v>
      </c>
    </row>
    <row r="6">
      <c r="A6" s="258">
        <v>46111.0</v>
      </c>
      <c r="B6" s="259">
        <v>46111.0</v>
      </c>
      <c r="C6" s="260">
        <v>9518.0</v>
      </c>
      <c r="D6" s="260" t="s">
        <v>212</v>
      </c>
      <c r="E6" s="260" t="s">
        <v>213</v>
      </c>
      <c r="F6" s="260">
        <v>24.46</v>
      </c>
      <c r="G6" t="str">
        <f>IFERROR(VLOOKUP(TRIM(E6), 'Expense Category Mapping'!A:B, 2, FALSE), "Misc")</f>
        <v>Business Expenses</v>
      </c>
      <c r="I6" s="260" t="s">
        <v>214</v>
      </c>
      <c r="J6" s="262" t="s">
        <v>215</v>
      </c>
      <c r="K6" s="263"/>
    </row>
    <row r="7">
      <c r="A7" s="258">
        <v>46109.0</v>
      </c>
      <c r="B7" s="259">
        <v>46111.0</v>
      </c>
      <c r="C7" s="260">
        <v>9518.0</v>
      </c>
      <c r="D7" s="260" t="s">
        <v>216</v>
      </c>
      <c r="E7" s="260" t="s">
        <v>122</v>
      </c>
      <c r="F7" s="260">
        <v>33.79</v>
      </c>
      <c r="G7" t="str">
        <f>IFERROR(VLOOKUP(TRIM(E7), 'Expense Category Mapping'!A:B, 2, FALSE), "Misc")</f>
        <v>Bar/ Alcohol</v>
      </c>
      <c r="I7" s="262" t="s">
        <v>217</v>
      </c>
      <c r="J7" s="260" t="s">
        <v>87</v>
      </c>
      <c r="K7" s="260" t="s">
        <v>218</v>
      </c>
    </row>
    <row r="8">
      <c r="A8" s="258">
        <v>46110.0</v>
      </c>
      <c r="B8" s="259">
        <v>46111.0</v>
      </c>
      <c r="C8" s="260">
        <v>9518.0</v>
      </c>
      <c r="D8" s="260" t="s">
        <v>219</v>
      </c>
      <c r="E8" s="260" t="s">
        <v>136</v>
      </c>
      <c r="F8" s="260">
        <v>68.0</v>
      </c>
      <c r="G8" t="str">
        <f>IFERROR(VLOOKUP(TRIM(E8), 'Expense Category Mapping'!A:B, 2, FALSE), "Misc")</f>
        <v>Entertainment</v>
      </c>
      <c r="I8" s="104" t="s">
        <v>220</v>
      </c>
      <c r="J8" s="104" t="s">
        <v>205</v>
      </c>
      <c r="K8" s="111" t="s">
        <v>221</v>
      </c>
    </row>
    <row r="9">
      <c r="A9" s="258">
        <v>46109.0</v>
      </c>
      <c r="B9" s="259">
        <v>46111.0</v>
      </c>
      <c r="C9" s="260">
        <v>9518.0</v>
      </c>
      <c r="D9" s="260" t="s">
        <v>222</v>
      </c>
      <c r="E9" s="260" t="s">
        <v>207</v>
      </c>
      <c r="F9" s="260">
        <v>10.91</v>
      </c>
      <c r="G9" t="str">
        <f>IFERROR(VLOOKUP(TRIM(E9), 'Expense Category Mapping'!A:B, 2, FALSE), "Misc")</f>
        <v>Transportation</v>
      </c>
      <c r="I9" s="260" t="s">
        <v>223</v>
      </c>
      <c r="J9" s="104" t="s">
        <v>205</v>
      </c>
      <c r="K9" s="111" t="s">
        <v>224</v>
      </c>
    </row>
    <row r="10">
      <c r="A10" s="258">
        <v>46108.0</v>
      </c>
      <c r="B10" s="259">
        <v>46111.0</v>
      </c>
      <c r="C10" s="260">
        <v>9518.0</v>
      </c>
      <c r="D10" s="260" t="s">
        <v>206</v>
      </c>
      <c r="E10" s="260" t="s">
        <v>207</v>
      </c>
      <c r="F10" s="260">
        <v>2.85</v>
      </c>
      <c r="G10" t="str">
        <f>IFERROR(VLOOKUP(TRIM(E10), 'Expense Category Mapping'!A:B, 2, FALSE), "Misc")</f>
        <v>Transportation</v>
      </c>
      <c r="I10" s="104"/>
      <c r="J10" s="168"/>
    </row>
    <row r="11">
      <c r="A11" s="258">
        <v>46108.0</v>
      </c>
      <c r="B11" s="259">
        <v>46109.0</v>
      </c>
      <c r="C11" s="260">
        <v>9518.0</v>
      </c>
      <c r="D11" s="260" t="s">
        <v>225</v>
      </c>
      <c r="E11" s="260" t="s">
        <v>122</v>
      </c>
      <c r="F11" s="260">
        <v>11.94</v>
      </c>
      <c r="G11" t="str">
        <f>IFERROR(VLOOKUP(TRIM(E11), 'Expense Category Mapping'!A:B, 2, FALSE), "Misc")</f>
        <v>Bar/ Alcohol</v>
      </c>
      <c r="I11" s="104"/>
      <c r="J11" s="168"/>
    </row>
    <row r="12">
      <c r="A12" s="258">
        <v>46108.0</v>
      </c>
      <c r="B12" s="259">
        <v>46109.0</v>
      </c>
      <c r="C12" s="260">
        <v>9518.0</v>
      </c>
      <c r="D12" s="260" t="s">
        <v>226</v>
      </c>
      <c r="E12" s="111" t="s">
        <v>87</v>
      </c>
      <c r="F12" s="260">
        <v>39.99</v>
      </c>
      <c r="G12" t="str">
        <f>IFERROR(VLOOKUP(TRIM(E12), 'Expense Category Mapping'!A:B, 2, FALSE), "Misc")</f>
        <v>Subscriptions</v>
      </c>
      <c r="I12" s="257"/>
      <c r="J12" s="168"/>
    </row>
    <row r="13">
      <c r="A13" s="258">
        <v>46108.0</v>
      </c>
      <c r="B13" s="259">
        <v>46109.0</v>
      </c>
      <c r="C13" s="260">
        <v>9518.0</v>
      </c>
      <c r="D13" s="260" t="s">
        <v>227</v>
      </c>
      <c r="E13" s="260" t="s">
        <v>207</v>
      </c>
      <c r="F13" s="260">
        <v>7.95</v>
      </c>
      <c r="G13" t="str">
        <f>IFERROR(VLOOKUP(TRIM(E13), 'Expense Category Mapping'!A:B, 2, FALSE), "Misc")</f>
        <v>Transportation</v>
      </c>
    </row>
    <row r="14">
      <c r="A14" s="258">
        <v>46107.0</v>
      </c>
      <c r="B14" s="259">
        <v>46108.0</v>
      </c>
      <c r="C14" s="260">
        <v>9518.0</v>
      </c>
      <c r="D14" s="260" t="s">
        <v>228</v>
      </c>
      <c r="E14" s="260" t="s">
        <v>229</v>
      </c>
      <c r="F14" s="260">
        <v>26.51</v>
      </c>
      <c r="G14" t="str">
        <f>IFERROR(VLOOKUP(TRIM(E14), 'Expense Category Mapping'!A:B, 2, FALSE), "Misc")</f>
        <v>Misc</v>
      </c>
    </row>
    <row r="15">
      <c r="A15" s="258">
        <v>46105.0</v>
      </c>
      <c r="B15" s="259">
        <v>46106.0</v>
      </c>
      <c r="C15" s="260">
        <v>9518.0</v>
      </c>
      <c r="D15" s="260" t="s">
        <v>230</v>
      </c>
      <c r="E15" s="260" t="s">
        <v>119</v>
      </c>
      <c r="F15" s="260">
        <v>6.75</v>
      </c>
      <c r="G15" t="str">
        <f>IFERROR(VLOOKUP(TRIM(E15), 'Expense Category Mapping'!A:B, 2, FALSE), "Misc")</f>
        <v>Dining</v>
      </c>
    </row>
    <row r="16">
      <c r="A16" s="258">
        <v>46104.0</v>
      </c>
      <c r="B16" s="259">
        <v>46105.0</v>
      </c>
      <c r="C16" s="260">
        <v>9518.0</v>
      </c>
      <c r="D16" s="260" t="s">
        <v>212</v>
      </c>
      <c r="E16" s="260" t="s">
        <v>213</v>
      </c>
      <c r="F16" s="260">
        <v>32.34</v>
      </c>
      <c r="G16" t="str">
        <f>IFERROR(VLOOKUP(TRIM(E16), 'Expense Category Mapping'!A:B, 2, FALSE), "Misc")</f>
        <v>Business Expenses</v>
      </c>
    </row>
    <row r="17">
      <c r="A17" s="258">
        <v>46104.0</v>
      </c>
      <c r="B17" s="259">
        <v>46105.0</v>
      </c>
      <c r="C17" s="260">
        <v>9518.0</v>
      </c>
      <c r="D17" s="260" t="s">
        <v>231</v>
      </c>
      <c r="E17" s="260" t="s">
        <v>205</v>
      </c>
      <c r="F17" s="260">
        <v>11.96</v>
      </c>
      <c r="G17" t="str">
        <f>IFERROR(VLOOKUP(TRIM(E17), 'Expense Category Mapping'!A:B, 2, FALSE), "Misc")</f>
        <v>Shopping</v>
      </c>
    </row>
    <row r="18" ht="20.25" customHeight="1">
      <c r="A18" s="258">
        <v>46105.0</v>
      </c>
      <c r="B18" s="259">
        <v>46105.0</v>
      </c>
      <c r="C18" s="260">
        <v>9518.0</v>
      </c>
      <c r="D18" s="260" t="s">
        <v>210</v>
      </c>
      <c r="E18" s="260" t="s">
        <v>136</v>
      </c>
      <c r="F18" s="260">
        <v>9.99</v>
      </c>
      <c r="G18" t="str">
        <f>IFERROR(VLOOKUP(TRIM(E18), 'Expense Category Mapping'!A:B, 2, FALSE), "Misc")</f>
        <v>Entertainment</v>
      </c>
    </row>
    <row r="19">
      <c r="A19" s="258">
        <v>46103.0</v>
      </c>
      <c r="B19" s="259">
        <v>46105.0</v>
      </c>
      <c r="C19" s="260">
        <v>9518.0</v>
      </c>
      <c r="D19" s="260" t="s">
        <v>223</v>
      </c>
      <c r="E19" s="260" t="s">
        <v>205</v>
      </c>
      <c r="F19" s="260">
        <v>19.16</v>
      </c>
      <c r="G19" t="str">
        <f>IFERROR(VLOOKUP(TRIM(E19), 'Expense Category Mapping'!A:B, 2, FALSE), "Misc")</f>
        <v>Shopping</v>
      </c>
    </row>
    <row r="20">
      <c r="A20" s="258">
        <v>46103.0</v>
      </c>
      <c r="B20" s="259">
        <v>46104.0</v>
      </c>
      <c r="C20" s="260">
        <v>9518.0</v>
      </c>
      <c r="D20" s="260" t="s">
        <v>212</v>
      </c>
      <c r="E20" s="260" t="s">
        <v>213</v>
      </c>
      <c r="F20" s="260">
        <v>17.66</v>
      </c>
      <c r="G20" t="str">
        <f>IFERROR(VLOOKUP(TRIM(E20), 'Expense Category Mapping'!A:B, 2, FALSE), "Misc")</f>
        <v>Business Expenses</v>
      </c>
    </row>
    <row r="21">
      <c r="A21" s="258">
        <v>46103.0</v>
      </c>
      <c r="B21" s="259">
        <v>46104.0</v>
      </c>
      <c r="C21" s="260">
        <v>9518.0</v>
      </c>
      <c r="D21" s="260" t="s">
        <v>232</v>
      </c>
      <c r="E21" s="260" t="s">
        <v>205</v>
      </c>
      <c r="F21" s="260">
        <v>17.77</v>
      </c>
      <c r="G21" t="str">
        <f>IFERROR(VLOOKUP(TRIM(E21), 'Expense Category Mapping'!A:B, 2, FALSE), "Misc")</f>
        <v>Shopping</v>
      </c>
    </row>
    <row r="22">
      <c r="A22" s="258">
        <v>46103.0</v>
      </c>
      <c r="B22" s="259">
        <v>46104.0</v>
      </c>
      <c r="C22" s="260">
        <v>9518.0</v>
      </c>
      <c r="D22" s="260" t="s">
        <v>233</v>
      </c>
      <c r="E22" s="260" t="s">
        <v>72</v>
      </c>
      <c r="F22" s="260">
        <v>6.6</v>
      </c>
      <c r="G22" t="str">
        <f>IFERROR(VLOOKUP(TRIM(E22), 'Expense Category Mapping'!A:B, 2, FALSE), "Misc")</f>
        <v>Coffee</v>
      </c>
    </row>
    <row r="23">
      <c r="A23" s="258">
        <v>46100.0</v>
      </c>
      <c r="B23" s="259">
        <v>46102.0</v>
      </c>
      <c r="C23" s="260">
        <v>9518.0</v>
      </c>
      <c r="D23" s="260" t="s">
        <v>234</v>
      </c>
      <c r="E23" s="260" t="s">
        <v>119</v>
      </c>
      <c r="F23" s="260">
        <v>5.75</v>
      </c>
      <c r="G23" t="str">
        <f>IFERROR(VLOOKUP(TRIM(E23), 'Expense Category Mapping'!A:B, 2, FALSE), "Misc")</f>
        <v>Dining</v>
      </c>
    </row>
    <row r="24">
      <c r="A24" s="258">
        <v>46101.0</v>
      </c>
      <c r="B24" s="259">
        <v>46101.0</v>
      </c>
      <c r="C24" s="260">
        <v>9518.0</v>
      </c>
      <c r="D24" s="260" t="s">
        <v>235</v>
      </c>
      <c r="E24" s="260" t="s">
        <v>236</v>
      </c>
      <c r="F24" s="260">
        <v>17.99</v>
      </c>
      <c r="G24" t="str">
        <f>IFERROR(VLOOKUP(TRIM(E24), 'Expense Category Mapping'!A:B, 2, FALSE), "Misc")</f>
        <v>Internet</v>
      </c>
    </row>
    <row r="25">
      <c r="A25" s="258">
        <v>46100.0</v>
      </c>
      <c r="B25" s="259">
        <v>46100.0</v>
      </c>
      <c r="C25" s="260">
        <v>9518.0</v>
      </c>
      <c r="D25" s="260" t="s">
        <v>237</v>
      </c>
      <c r="E25" s="260" t="s">
        <v>205</v>
      </c>
      <c r="F25" s="260">
        <v>75.95</v>
      </c>
      <c r="G25" t="str">
        <f>IFERROR(VLOOKUP(TRIM(E25), 'Expense Category Mapping'!A:B, 2, FALSE), "Misc")</f>
        <v>Shopping</v>
      </c>
    </row>
    <row r="26">
      <c r="A26" s="258">
        <v>46099.0</v>
      </c>
      <c r="B26" s="259">
        <v>46100.0</v>
      </c>
      <c r="C26" s="260">
        <v>9518.0</v>
      </c>
      <c r="D26" s="260" t="s">
        <v>238</v>
      </c>
      <c r="E26" s="260" t="s">
        <v>72</v>
      </c>
      <c r="F26" s="260">
        <v>6.25</v>
      </c>
      <c r="G26" t="str">
        <f>IFERROR(VLOOKUP(TRIM(E26), 'Expense Category Mapping'!A:B, 2, FALSE), "Misc")</f>
        <v>Coffee</v>
      </c>
    </row>
    <row r="27">
      <c r="A27" s="258">
        <v>46099.0</v>
      </c>
      <c r="B27" s="259">
        <v>46100.0</v>
      </c>
      <c r="C27" s="260">
        <v>9518.0</v>
      </c>
      <c r="D27" s="260" t="s">
        <v>239</v>
      </c>
      <c r="E27" s="260" t="s">
        <v>207</v>
      </c>
      <c r="F27" s="260">
        <v>9.59</v>
      </c>
      <c r="G27" t="str">
        <f>IFERROR(VLOOKUP(TRIM(E27), 'Expense Category Mapping'!A:B, 2, FALSE), "Misc")</f>
        <v>Transportation</v>
      </c>
    </row>
    <row r="28">
      <c r="A28" s="258">
        <v>46098.0</v>
      </c>
      <c r="B28" s="259">
        <v>46099.0</v>
      </c>
      <c r="C28" s="260">
        <v>9518.0</v>
      </c>
      <c r="D28" s="260" t="s">
        <v>240</v>
      </c>
      <c r="E28" s="260" t="s">
        <v>205</v>
      </c>
      <c r="F28" s="260">
        <v>13.84</v>
      </c>
      <c r="G28" t="str">
        <f>IFERROR(VLOOKUP(TRIM(E28), 'Expense Category Mapping'!A:B, 2, FALSE), "Misc")</f>
        <v>Shopping</v>
      </c>
    </row>
    <row r="29">
      <c r="A29" s="258">
        <v>46098.0</v>
      </c>
      <c r="B29" s="259">
        <v>46099.0</v>
      </c>
      <c r="C29" s="260">
        <v>9518.0</v>
      </c>
      <c r="D29" s="260" t="s">
        <v>206</v>
      </c>
      <c r="E29" s="260" t="s">
        <v>207</v>
      </c>
      <c r="F29" s="260">
        <v>2.55</v>
      </c>
      <c r="G29" t="str">
        <f>IFERROR(VLOOKUP(TRIM(E29), 'Expense Category Mapping'!A:B, 2, FALSE), "Misc")</f>
        <v>Transportation</v>
      </c>
    </row>
    <row r="30">
      <c r="A30" s="258">
        <v>46098.0</v>
      </c>
      <c r="B30" s="259">
        <v>46098.0</v>
      </c>
      <c r="C30" s="260">
        <v>9518.0</v>
      </c>
      <c r="D30" s="260" t="s">
        <v>241</v>
      </c>
      <c r="E30" s="260" t="s">
        <v>205</v>
      </c>
      <c r="F30" s="260">
        <v>44.83</v>
      </c>
      <c r="G30" t="str">
        <f>IFERROR(VLOOKUP(TRIM(E30), 'Expense Category Mapping'!A:B, 2, FALSE), "Misc")</f>
        <v>Shopping</v>
      </c>
    </row>
    <row r="31">
      <c r="A31" s="258">
        <v>46097.0</v>
      </c>
      <c r="B31" s="259">
        <v>46098.0</v>
      </c>
      <c r="C31" s="260">
        <v>9518.0</v>
      </c>
      <c r="D31" s="260" t="s">
        <v>242</v>
      </c>
      <c r="E31" s="260" t="s">
        <v>205</v>
      </c>
      <c r="F31" s="260">
        <v>1.08</v>
      </c>
      <c r="G31" t="str">
        <f>IFERROR(VLOOKUP(TRIM(E31), 'Expense Category Mapping'!A:B, 2, FALSE), "Misc")</f>
        <v>Shopping</v>
      </c>
    </row>
    <row r="32">
      <c r="A32" s="258">
        <v>46096.0</v>
      </c>
      <c r="B32" s="259">
        <v>46097.0</v>
      </c>
      <c r="C32" s="260">
        <v>9518.0</v>
      </c>
      <c r="D32" s="260" t="s">
        <v>243</v>
      </c>
      <c r="E32" s="260" t="s">
        <v>79</v>
      </c>
      <c r="F32" s="260">
        <v>1.25</v>
      </c>
      <c r="G32" t="str">
        <f>IFERROR(VLOOKUP(TRIM(E32), 'Expense Category Mapping'!A:B, 2, FALSE), "Misc")</f>
        <v>Other Services</v>
      </c>
    </row>
    <row r="33">
      <c r="A33" s="258">
        <v>46096.0</v>
      </c>
      <c r="B33" s="259">
        <v>46097.0</v>
      </c>
      <c r="C33" s="260">
        <v>9518.0</v>
      </c>
      <c r="D33" s="260" t="s">
        <v>244</v>
      </c>
      <c r="E33" s="260" t="s">
        <v>205</v>
      </c>
      <c r="F33" s="260">
        <v>244.15</v>
      </c>
      <c r="G33" t="str">
        <f>IFERROR(VLOOKUP(TRIM(E33), 'Expense Category Mapping'!A:B, 2, FALSE), "Misc")</f>
        <v>Shopping</v>
      </c>
    </row>
    <row r="34">
      <c r="A34" s="258">
        <v>46096.0</v>
      </c>
      <c r="B34" s="259">
        <v>46097.0</v>
      </c>
      <c r="C34" s="260">
        <v>9518.0</v>
      </c>
      <c r="D34" s="264" t="s">
        <v>245</v>
      </c>
      <c r="E34" s="260" t="s">
        <v>136</v>
      </c>
      <c r="F34" s="260">
        <v>2.99</v>
      </c>
      <c r="G34" t="str">
        <f>IFERROR(VLOOKUP(TRIM(E34), 'Expense Category Mapping'!A:B, 2, FALSE), "Misc")</f>
        <v>Entertainment</v>
      </c>
    </row>
    <row r="35">
      <c r="A35" s="258">
        <v>46096.0</v>
      </c>
      <c r="B35" s="259">
        <v>46097.0</v>
      </c>
      <c r="C35" s="260">
        <v>9518.0</v>
      </c>
      <c r="D35" s="260" t="s">
        <v>246</v>
      </c>
      <c r="E35" s="260" t="s">
        <v>119</v>
      </c>
      <c r="F35" s="260">
        <v>17.08</v>
      </c>
      <c r="G35" t="str">
        <f>IFERROR(VLOOKUP(TRIM(E35), 'Expense Category Mapping'!A:B, 2, FALSE), "Misc")</f>
        <v>Dining</v>
      </c>
    </row>
    <row r="36">
      <c r="A36" s="258">
        <v>46095.0</v>
      </c>
      <c r="B36" s="259">
        <v>46097.0</v>
      </c>
      <c r="C36" s="260">
        <v>9518.0</v>
      </c>
      <c r="D36" s="260" t="s">
        <v>247</v>
      </c>
      <c r="E36" s="260" t="s">
        <v>136</v>
      </c>
      <c r="F36" s="260">
        <v>7.58</v>
      </c>
      <c r="G36" t="str">
        <f>IFERROR(VLOOKUP(TRIM(E36), 'Expense Category Mapping'!A:B, 2, FALSE), "Misc")</f>
        <v>Entertainment</v>
      </c>
    </row>
    <row r="37">
      <c r="A37" s="258">
        <v>46094.0</v>
      </c>
      <c r="B37" s="259">
        <v>46095.0</v>
      </c>
      <c r="C37" s="260">
        <v>9518.0</v>
      </c>
      <c r="D37" s="260" t="s">
        <v>240</v>
      </c>
      <c r="E37" s="260" t="s">
        <v>248</v>
      </c>
      <c r="F37" s="260">
        <v>9.75</v>
      </c>
      <c r="G37" t="str">
        <f>IFERROR(VLOOKUP(TRIM(E37), 'Expense Category Mapping'!A:B, 2, FALSE), "Misc")</f>
        <v>Groceries</v>
      </c>
    </row>
    <row r="38">
      <c r="A38" s="258">
        <v>46093.0</v>
      </c>
      <c r="B38" s="259">
        <v>46094.0</v>
      </c>
      <c r="C38" s="260">
        <v>9518.0</v>
      </c>
      <c r="D38" s="260" t="s">
        <v>249</v>
      </c>
      <c r="E38" s="260" t="s">
        <v>136</v>
      </c>
      <c r="F38" s="260">
        <v>74.44</v>
      </c>
      <c r="G38" t="str">
        <f>IFERROR(VLOOKUP(TRIM(E38), 'Expense Category Mapping'!A:B, 2, FALSE), "Misc")</f>
        <v>Entertainment</v>
      </c>
    </row>
    <row r="39">
      <c r="A39" s="258">
        <v>46091.0</v>
      </c>
      <c r="B39" s="259">
        <v>46094.0</v>
      </c>
      <c r="C39" s="260">
        <v>9518.0</v>
      </c>
      <c r="D39" s="260" t="s">
        <v>250</v>
      </c>
      <c r="E39" s="260" t="s">
        <v>251</v>
      </c>
      <c r="F39" s="260">
        <v>24.94</v>
      </c>
      <c r="G39" t="str">
        <f>IFERROR(VLOOKUP(TRIM(E39), 'Expense Category Mapping'!A:B, 2, FALSE), "Misc")</f>
        <v>Gas/Automotive</v>
      </c>
    </row>
    <row r="40">
      <c r="A40" s="258">
        <v>46092.0</v>
      </c>
      <c r="B40" s="259">
        <v>46093.0</v>
      </c>
      <c r="C40" s="260">
        <v>9518.0</v>
      </c>
      <c r="D40" s="260" t="s">
        <v>232</v>
      </c>
      <c r="E40" s="260" t="s">
        <v>205</v>
      </c>
      <c r="F40" s="260">
        <v>32.04</v>
      </c>
      <c r="G40" t="str">
        <f>IFERROR(VLOOKUP(TRIM(E40), 'Expense Category Mapping'!A:B, 2, FALSE), "Misc")</f>
        <v>Shopping</v>
      </c>
    </row>
    <row r="41">
      <c r="A41" s="258">
        <v>46092.0</v>
      </c>
      <c r="B41" s="259">
        <v>46093.0</v>
      </c>
      <c r="C41" s="260">
        <v>9518.0</v>
      </c>
      <c r="D41" s="260" t="s">
        <v>223</v>
      </c>
      <c r="E41" s="260" t="s">
        <v>248</v>
      </c>
      <c r="F41" s="260">
        <v>19.44</v>
      </c>
      <c r="G41" t="str">
        <f>IFERROR(VLOOKUP(TRIM(E41), 'Expense Category Mapping'!A:B, 2, FALSE), "Misc")</f>
        <v>Groceries</v>
      </c>
    </row>
    <row r="42">
      <c r="A42" s="258">
        <v>46092.0</v>
      </c>
      <c r="B42" s="259">
        <v>46093.0</v>
      </c>
      <c r="C42" s="260">
        <v>9518.0</v>
      </c>
      <c r="D42" s="260" t="s">
        <v>252</v>
      </c>
      <c r="E42" s="260" t="s">
        <v>253</v>
      </c>
      <c r="F42" s="260">
        <v>172.5</v>
      </c>
      <c r="G42" t="str">
        <f>IFERROR(VLOOKUP(TRIM(E42), 'Expense Category Mapping'!A:B, 2, FALSE), "Misc")</f>
        <v>Transportation</v>
      </c>
    </row>
    <row r="43">
      <c r="A43" s="258">
        <v>46091.0</v>
      </c>
      <c r="B43" s="259">
        <v>46093.0</v>
      </c>
      <c r="C43" s="260">
        <v>9518.0</v>
      </c>
      <c r="D43" s="260" t="s">
        <v>254</v>
      </c>
      <c r="E43" s="260" t="s">
        <v>205</v>
      </c>
      <c r="F43" s="260">
        <v>21.81</v>
      </c>
      <c r="G43" t="str">
        <f>IFERROR(VLOOKUP(TRIM(E43), 'Expense Category Mapping'!A:B, 2, FALSE), "Misc")</f>
        <v>Shopping</v>
      </c>
    </row>
    <row r="44">
      <c r="A44" s="258">
        <v>46091.0</v>
      </c>
      <c r="B44" s="259">
        <v>46093.0</v>
      </c>
      <c r="C44" s="260">
        <v>9518.0</v>
      </c>
      <c r="D44" s="260" t="s">
        <v>255</v>
      </c>
      <c r="E44" s="260" t="s">
        <v>248</v>
      </c>
      <c r="F44" s="260">
        <v>20.84</v>
      </c>
      <c r="G44" t="str">
        <f>IFERROR(VLOOKUP(TRIM(E44), 'Expense Category Mapping'!A:B, 2, FALSE), "Misc")</f>
        <v>Groceries</v>
      </c>
    </row>
    <row r="45">
      <c r="A45" s="258">
        <v>46091.0</v>
      </c>
      <c r="B45" s="259">
        <v>46093.0</v>
      </c>
      <c r="C45" s="260">
        <v>9518.0</v>
      </c>
      <c r="D45" s="260" t="s">
        <v>256</v>
      </c>
      <c r="E45" s="260" t="s">
        <v>251</v>
      </c>
      <c r="F45" s="260">
        <v>4.84</v>
      </c>
      <c r="G45" t="str">
        <f>IFERROR(VLOOKUP(TRIM(E45), 'Expense Category Mapping'!A:B, 2, FALSE), "Misc")</f>
        <v>Gas/Automotive</v>
      </c>
    </row>
    <row r="46">
      <c r="A46" s="258">
        <v>46091.0</v>
      </c>
      <c r="B46" s="259">
        <v>46092.0</v>
      </c>
      <c r="C46" s="260">
        <v>9518.0</v>
      </c>
      <c r="D46" s="260" t="s">
        <v>212</v>
      </c>
      <c r="E46" s="260" t="s">
        <v>213</v>
      </c>
      <c r="F46" s="260">
        <v>32.34</v>
      </c>
      <c r="G46" t="str">
        <f>IFERROR(VLOOKUP(TRIM(E46), 'Expense Category Mapping'!A:B, 2, FALSE), "Misc")</f>
        <v>Business Expenses</v>
      </c>
    </row>
    <row r="47">
      <c r="A47" s="258">
        <v>46091.0</v>
      </c>
      <c r="B47" s="259">
        <v>46092.0</v>
      </c>
      <c r="C47" s="260">
        <v>9518.0</v>
      </c>
      <c r="D47" s="260" t="s">
        <v>257</v>
      </c>
      <c r="E47" s="260" t="s">
        <v>251</v>
      </c>
      <c r="F47" s="260">
        <v>58.3</v>
      </c>
      <c r="G47" t="str">
        <f>IFERROR(VLOOKUP(TRIM(E47), 'Expense Category Mapping'!A:B, 2, FALSE), "Misc")</f>
        <v>Gas/Automotive</v>
      </c>
    </row>
    <row r="48">
      <c r="A48" s="258">
        <v>46091.0</v>
      </c>
      <c r="B48" s="259">
        <v>46091.0</v>
      </c>
      <c r="C48" s="260">
        <v>9518.0</v>
      </c>
      <c r="D48" s="260" t="s">
        <v>258</v>
      </c>
      <c r="E48" s="260" t="s">
        <v>100</v>
      </c>
      <c r="F48" s="260">
        <v>366.0</v>
      </c>
      <c r="G48" t="str">
        <f>IFERROR(VLOOKUP(TRIM(E48), 'Expense Category Mapping'!A:B, 2, FALSE), "Misc")</f>
        <v>Insurance</v>
      </c>
    </row>
    <row r="49">
      <c r="A49" s="258">
        <v>46088.0</v>
      </c>
      <c r="B49" s="259">
        <v>46090.0</v>
      </c>
      <c r="C49" s="260">
        <v>9518.0</v>
      </c>
      <c r="D49" s="260" t="s">
        <v>259</v>
      </c>
      <c r="E49" s="260" t="s">
        <v>72</v>
      </c>
      <c r="F49" s="260">
        <v>7.0</v>
      </c>
      <c r="G49" t="str">
        <f>IFERROR(VLOOKUP(TRIM(E49), 'Expense Category Mapping'!A:B, 2, FALSE), "Misc")</f>
        <v>Coffee</v>
      </c>
    </row>
    <row r="50">
      <c r="A50" s="258">
        <v>46088.0</v>
      </c>
      <c r="B50" s="259">
        <v>46088.0</v>
      </c>
      <c r="C50" s="260">
        <v>9518.0</v>
      </c>
      <c r="D50" s="264" t="s">
        <v>260</v>
      </c>
      <c r="E50" s="260" t="s">
        <v>136</v>
      </c>
      <c r="F50" s="260">
        <v>1.99</v>
      </c>
      <c r="G50" t="str">
        <f>IFERROR(VLOOKUP(TRIM(E50), 'Expense Category Mapping'!A:B, 2, FALSE), "Misc")</f>
        <v>Entertainment</v>
      </c>
    </row>
    <row r="51">
      <c r="A51" s="258">
        <v>46085.0</v>
      </c>
      <c r="B51" s="259">
        <v>46087.0</v>
      </c>
      <c r="C51" s="260">
        <v>9518.0</v>
      </c>
      <c r="D51" s="260" t="s">
        <v>261</v>
      </c>
      <c r="E51" s="260" t="s">
        <v>119</v>
      </c>
      <c r="F51" s="260">
        <v>40.71</v>
      </c>
      <c r="G51" t="str">
        <f>IFERROR(VLOOKUP(TRIM(E51), 'Expense Category Mapping'!A:B, 2, FALSE), "Misc")</f>
        <v>Dining</v>
      </c>
    </row>
    <row r="52">
      <c r="A52" s="258">
        <v>46085.0</v>
      </c>
      <c r="B52" s="259">
        <v>46086.0</v>
      </c>
      <c r="C52" s="260">
        <v>9518.0</v>
      </c>
      <c r="D52" s="260" t="s">
        <v>262</v>
      </c>
      <c r="E52" s="260" t="s">
        <v>213</v>
      </c>
      <c r="F52" s="260">
        <v>49.16</v>
      </c>
      <c r="G52" t="str">
        <f>IFERROR(VLOOKUP(TRIM(E52), 'Expense Category Mapping'!A:B, 2, FALSE), "Misc")</f>
        <v>Business Expenses</v>
      </c>
    </row>
    <row r="53">
      <c r="A53" s="258">
        <v>46085.0</v>
      </c>
      <c r="B53" s="259">
        <v>46086.0</v>
      </c>
      <c r="C53" s="260">
        <v>9518.0</v>
      </c>
      <c r="D53" s="260" t="s">
        <v>263</v>
      </c>
      <c r="E53" s="260" t="s">
        <v>72</v>
      </c>
      <c r="F53" s="260">
        <v>4.5</v>
      </c>
      <c r="G53" t="str">
        <f>IFERROR(VLOOKUP(TRIM(E53), 'Expense Category Mapping'!A:B, 2, FALSE), "Misc")</f>
        <v>Coffee</v>
      </c>
    </row>
    <row r="54">
      <c r="A54" s="258">
        <v>46084.0</v>
      </c>
      <c r="B54" s="259">
        <v>46085.0</v>
      </c>
      <c r="C54" s="260">
        <v>9518.0</v>
      </c>
      <c r="D54" s="260" t="s">
        <v>264</v>
      </c>
      <c r="E54" s="260" t="s">
        <v>265</v>
      </c>
      <c r="F54" s="260">
        <v>8.0</v>
      </c>
      <c r="G54" t="str">
        <f>IFERROR(VLOOKUP(TRIM(E54), 'Expense Category Mapping'!A:B, 2, FALSE), "Misc")</f>
        <v>Misc</v>
      </c>
    </row>
    <row r="55">
      <c r="A55" s="258">
        <v>46085.0</v>
      </c>
      <c r="B55" s="259">
        <v>46085.0</v>
      </c>
      <c r="C55" s="260">
        <v>9518.0</v>
      </c>
      <c r="D55" s="260" t="s">
        <v>266</v>
      </c>
      <c r="E55" s="260" t="s">
        <v>139</v>
      </c>
      <c r="F55" s="260">
        <v>2.03</v>
      </c>
      <c r="G55" t="str">
        <f>IFERROR(VLOOKUP(TRIM(E55), 'Expense Category Mapping'!A:B, 2, FALSE), "Misc")</f>
        <v>AI Fees</v>
      </c>
    </row>
    <row r="56">
      <c r="A56" s="258">
        <v>46083.0</v>
      </c>
      <c r="B56" s="259">
        <v>46084.0</v>
      </c>
      <c r="C56" s="260">
        <v>9518.0</v>
      </c>
      <c r="D56" s="260" t="s">
        <v>267</v>
      </c>
      <c r="E56" s="260" t="s">
        <v>248</v>
      </c>
      <c r="F56" s="260">
        <v>3.26</v>
      </c>
      <c r="G56" t="str">
        <f>IFERROR(VLOOKUP(TRIM(E56), 'Expense Category Mapping'!A:B, 2, FALSE), "Misc")</f>
        <v>Groceries</v>
      </c>
    </row>
    <row r="57">
      <c r="A57" s="258"/>
      <c r="B57" s="259"/>
      <c r="C57" s="260"/>
      <c r="D57" s="260"/>
      <c r="E57" s="260"/>
      <c r="F57" s="265"/>
      <c r="G57" t="str">
        <f>IFERROR(VLOOKUP(TRIM(E57), 'Expense Category Mapping'!A:B, 2, FALSE), "Misc")</f>
        <v>Misc</v>
      </c>
    </row>
    <row r="58">
      <c r="G58" t="str">
        <f>IFERROR(VLOOKUP(TRIM(E58), 'Expense Category Mapping'!A:B, 2, FALSE), "Misc")</f>
        <v>Misc</v>
      </c>
    </row>
    <row r="59">
      <c r="G59" t="str">
        <f>IFERROR(VLOOKUP(TRIM(E59), 'Expense Category Mapping'!A:B, 2, FALSE), "Misc")</f>
        <v>Misc</v>
      </c>
    </row>
    <row r="60">
      <c r="A60" s="258">
        <v>46141.0</v>
      </c>
      <c r="B60" s="259">
        <v>46142.0</v>
      </c>
      <c r="C60" s="260">
        <v>9518.0</v>
      </c>
      <c r="D60" s="260" t="s">
        <v>268</v>
      </c>
      <c r="E60" s="260" t="s">
        <v>72</v>
      </c>
      <c r="F60" s="260">
        <v>1.5</v>
      </c>
      <c r="G60" t="str">
        <f>IFERROR(VLOOKUP(TRIM(E60), 'Expense Category Mapping'!A:B, 2, FALSE), "Misc")</f>
        <v>Coffee</v>
      </c>
    </row>
    <row r="61">
      <c r="A61" s="258">
        <v>46141.0</v>
      </c>
      <c r="B61" s="259">
        <v>46142.0</v>
      </c>
      <c r="C61" s="260">
        <v>9518.0</v>
      </c>
      <c r="D61" s="260" t="s">
        <v>268</v>
      </c>
      <c r="E61" s="260" t="s">
        <v>72</v>
      </c>
      <c r="F61" s="260">
        <v>6.75</v>
      </c>
      <c r="G61" t="str">
        <f>IFERROR(VLOOKUP(TRIM(E61), 'Expense Category Mapping'!A:B, 2, FALSE), "Misc")</f>
        <v>Coffee</v>
      </c>
    </row>
    <row r="62">
      <c r="A62" s="258">
        <v>46141.0</v>
      </c>
      <c r="B62" s="259">
        <v>46141.0</v>
      </c>
      <c r="C62" s="260">
        <v>9518.0</v>
      </c>
      <c r="D62" s="264" t="s">
        <v>269</v>
      </c>
      <c r="E62" s="260" t="s">
        <v>236</v>
      </c>
      <c r="F62" s="260">
        <v>4.99</v>
      </c>
      <c r="G62" t="str">
        <f>IFERROR(VLOOKUP(TRIM(E62), 'Expense Category Mapping'!A:B, 2, FALSE), "Misc")</f>
        <v>Internet</v>
      </c>
    </row>
    <row r="63">
      <c r="A63" s="258">
        <v>46139.0</v>
      </c>
      <c r="B63" s="259">
        <v>46140.0</v>
      </c>
      <c r="C63" s="260">
        <v>9518.0</v>
      </c>
      <c r="D63" s="260" t="s">
        <v>222</v>
      </c>
      <c r="E63" s="260" t="s">
        <v>207</v>
      </c>
      <c r="F63" s="260">
        <v>10.77</v>
      </c>
      <c r="G63" t="str">
        <f>IFERROR(VLOOKUP(TRIM(E63), 'Expense Category Mapping'!A:B, 2, FALSE), "Misc")</f>
        <v>Transportation</v>
      </c>
    </row>
    <row r="64">
      <c r="A64" s="258">
        <v>46139.0</v>
      </c>
      <c r="B64" s="259">
        <v>46140.0</v>
      </c>
      <c r="C64" s="260">
        <v>9518.0</v>
      </c>
      <c r="D64" s="260" t="s">
        <v>226</v>
      </c>
      <c r="E64" s="111" t="s">
        <v>87</v>
      </c>
      <c r="F64" s="260">
        <v>39.99</v>
      </c>
      <c r="G64" t="str">
        <f>IFERROR(VLOOKUP(TRIM(E64), 'Expense Category Mapping'!A:B, 2, FALSE), "Misc")</f>
        <v>Subscriptions</v>
      </c>
    </row>
    <row r="65">
      <c r="A65" s="258">
        <v>46137.0</v>
      </c>
      <c r="B65" s="259">
        <v>46139.0</v>
      </c>
      <c r="C65" s="260">
        <v>9518.0</v>
      </c>
      <c r="D65" s="260" t="s">
        <v>270</v>
      </c>
      <c r="E65" s="260" t="s">
        <v>207</v>
      </c>
      <c r="F65" s="260">
        <v>20.0</v>
      </c>
      <c r="G65" t="str">
        <f>IFERROR(VLOOKUP(TRIM(E65), 'Expense Category Mapping'!A:B, 2, FALSE), "Misc")</f>
        <v>Transportation</v>
      </c>
    </row>
    <row r="66">
      <c r="A66" s="258">
        <v>46136.0</v>
      </c>
      <c r="B66" s="259">
        <v>46136.0</v>
      </c>
      <c r="C66" s="260">
        <v>9518.0</v>
      </c>
      <c r="D66" s="260" t="s">
        <v>210</v>
      </c>
      <c r="E66" s="111" t="s">
        <v>87</v>
      </c>
      <c r="F66" s="260">
        <v>9.99</v>
      </c>
      <c r="G66" t="str">
        <f>IFERROR(VLOOKUP(TRIM(E66), 'Expense Category Mapping'!A:B, 2, FALSE), "Misc")</f>
        <v>Subscriptions</v>
      </c>
    </row>
    <row r="67">
      <c r="A67" s="258">
        <v>46134.0</v>
      </c>
      <c r="B67" s="259">
        <v>46136.0</v>
      </c>
      <c r="C67" s="260">
        <v>9518.0</v>
      </c>
      <c r="D67" s="260" t="s">
        <v>271</v>
      </c>
      <c r="E67" s="260" t="s">
        <v>72</v>
      </c>
      <c r="F67" s="260">
        <v>3.81</v>
      </c>
      <c r="G67" t="str">
        <f>IFERROR(VLOOKUP(TRIM(E67), 'Expense Category Mapping'!A:B, 2, FALSE), "Misc")</f>
        <v>Coffee</v>
      </c>
    </row>
    <row r="68">
      <c r="A68" s="258">
        <v>46135.0</v>
      </c>
      <c r="B68" s="259">
        <v>46135.0</v>
      </c>
      <c r="C68" s="260">
        <v>9518.0</v>
      </c>
      <c r="D68" s="260" t="s">
        <v>272</v>
      </c>
      <c r="E68" s="111" t="s">
        <v>87</v>
      </c>
      <c r="F68" s="260">
        <v>12.99</v>
      </c>
      <c r="G68" t="str">
        <f>IFERROR(VLOOKUP(TRIM(E68), 'Expense Category Mapping'!A:B, 2, FALSE), "Misc")</f>
        <v>Subscriptions</v>
      </c>
    </row>
    <row r="69">
      <c r="A69" s="258">
        <v>46134.0</v>
      </c>
      <c r="B69" s="259">
        <v>46134.0</v>
      </c>
      <c r="C69" s="260">
        <v>9518.0</v>
      </c>
      <c r="D69" s="260" t="s">
        <v>273</v>
      </c>
      <c r="E69" s="111" t="s">
        <v>87</v>
      </c>
      <c r="F69" s="260">
        <v>15.88</v>
      </c>
      <c r="G69" t="str">
        <f>IFERROR(VLOOKUP(TRIM(E69), 'Expense Category Mapping'!A:B, 2, FALSE), "Misc")</f>
        <v>Subscriptions</v>
      </c>
    </row>
    <row r="70">
      <c r="A70" s="258">
        <v>46132.0</v>
      </c>
      <c r="B70" s="259">
        <v>46132.0</v>
      </c>
      <c r="C70" s="260">
        <v>9518.0</v>
      </c>
      <c r="D70" s="260" t="s">
        <v>235</v>
      </c>
      <c r="E70" s="260" t="s">
        <v>236</v>
      </c>
      <c r="F70" s="260">
        <v>17.99</v>
      </c>
      <c r="G70" t="str">
        <f>IFERROR(VLOOKUP(TRIM(E70), 'Expense Category Mapping'!A:B, 2, FALSE), "Misc")</f>
        <v>Internet</v>
      </c>
    </row>
    <row r="71">
      <c r="A71" s="258">
        <v>46131.0</v>
      </c>
      <c r="B71" s="259">
        <v>46132.0</v>
      </c>
      <c r="C71" s="260">
        <v>9518.0</v>
      </c>
      <c r="D71" s="260" t="s">
        <v>222</v>
      </c>
      <c r="E71" s="260" t="s">
        <v>207</v>
      </c>
      <c r="F71" s="260">
        <v>14.43</v>
      </c>
      <c r="G71" t="str">
        <f>IFERROR(VLOOKUP(TRIM(E71), 'Expense Category Mapping'!A:B, 2, FALSE), "Misc")</f>
        <v>Transportation</v>
      </c>
    </row>
    <row r="72">
      <c r="A72" s="258">
        <v>46130.0</v>
      </c>
      <c r="B72" s="259">
        <v>46132.0</v>
      </c>
      <c r="C72" s="260">
        <v>9518.0</v>
      </c>
      <c r="D72" s="260" t="s">
        <v>223</v>
      </c>
      <c r="E72" s="260" t="s">
        <v>205</v>
      </c>
      <c r="F72" s="260">
        <v>21.43</v>
      </c>
      <c r="G72" t="str">
        <f>IFERROR(VLOOKUP(TRIM(E72), 'Expense Category Mapping'!A:B, 2, FALSE), "Misc")</f>
        <v>Shopping</v>
      </c>
    </row>
    <row r="73">
      <c r="A73" s="258">
        <v>46131.0</v>
      </c>
      <c r="B73" s="259">
        <v>46132.0</v>
      </c>
      <c r="C73" s="260">
        <v>9518.0</v>
      </c>
      <c r="D73" s="260" t="s">
        <v>227</v>
      </c>
      <c r="E73" s="260" t="s">
        <v>207</v>
      </c>
      <c r="F73" s="260">
        <v>7.22</v>
      </c>
      <c r="G73" t="str">
        <f>IFERROR(VLOOKUP(TRIM(E73), 'Expense Category Mapping'!A:B, 2, FALSE), "Misc")</f>
        <v>Transportation</v>
      </c>
    </row>
    <row r="74">
      <c r="A74" s="258">
        <v>46130.0</v>
      </c>
      <c r="B74" s="259">
        <v>46132.0</v>
      </c>
      <c r="C74" s="260">
        <v>9518.0</v>
      </c>
      <c r="D74" s="260" t="s">
        <v>274</v>
      </c>
      <c r="E74" s="260" t="s">
        <v>205</v>
      </c>
      <c r="F74" s="260">
        <v>11.76</v>
      </c>
      <c r="G74" t="str">
        <f>IFERROR(VLOOKUP(TRIM(E74), 'Expense Category Mapping'!A:B, 2, FALSE), "Misc")</f>
        <v>Shopping</v>
      </c>
    </row>
    <row r="75">
      <c r="A75" s="258">
        <v>46129.0</v>
      </c>
      <c r="B75" s="259">
        <v>46130.0</v>
      </c>
      <c r="C75" s="260">
        <v>9518.0</v>
      </c>
      <c r="D75" s="260" t="s">
        <v>275</v>
      </c>
      <c r="E75" s="260" t="s">
        <v>205</v>
      </c>
      <c r="F75" s="260">
        <v>15.43</v>
      </c>
      <c r="G75" t="str">
        <f>IFERROR(VLOOKUP(TRIM(E75), 'Expense Category Mapping'!A:B, 2, FALSE), "Misc")</f>
        <v>Shopping</v>
      </c>
    </row>
    <row r="76">
      <c r="A76" s="258">
        <v>46128.0</v>
      </c>
      <c r="B76" s="259">
        <v>46130.0</v>
      </c>
      <c r="C76" s="260">
        <v>9518.0</v>
      </c>
      <c r="D76" s="260" t="s">
        <v>276</v>
      </c>
      <c r="E76" s="260" t="s">
        <v>248</v>
      </c>
      <c r="F76" s="260">
        <v>67.17</v>
      </c>
      <c r="G76" t="str">
        <f>IFERROR(VLOOKUP(TRIM(E76), 'Expense Category Mapping'!A:B, 2, FALSE), "Misc")</f>
        <v>Groceries</v>
      </c>
    </row>
    <row r="77">
      <c r="A77" s="258">
        <v>46127.0</v>
      </c>
      <c r="B77" s="259">
        <v>46129.0</v>
      </c>
      <c r="C77" s="260">
        <v>9518.0</v>
      </c>
      <c r="D77" s="260" t="s">
        <v>277</v>
      </c>
      <c r="E77" s="260" t="s">
        <v>72</v>
      </c>
      <c r="F77" s="260">
        <v>14.84</v>
      </c>
      <c r="G77" t="str">
        <f>IFERROR(VLOOKUP(TRIM(E77), 'Expense Category Mapping'!A:B, 2, FALSE), "Misc")</f>
        <v>Coffee</v>
      </c>
    </row>
    <row r="78">
      <c r="A78" s="258">
        <v>46127.0</v>
      </c>
      <c r="B78" s="259">
        <v>46128.0</v>
      </c>
      <c r="C78" s="260">
        <v>9518.0</v>
      </c>
      <c r="D78" s="260" t="s">
        <v>223</v>
      </c>
      <c r="E78" s="260" t="s">
        <v>119</v>
      </c>
      <c r="F78" s="260">
        <v>15.57</v>
      </c>
      <c r="G78" t="str">
        <f>IFERROR(VLOOKUP(TRIM(E78), 'Expense Category Mapping'!A:B, 2, FALSE), "Misc")</f>
        <v>Dining</v>
      </c>
    </row>
    <row r="79">
      <c r="A79" s="258">
        <v>46127.0</v>
      </c>
      <c r="B79" s="259">
        <v>46128.0</v>
      </c>
      <c r="C79" s="260">
        <v>9518.0</v>
      </c>
      <c r="D79" s="260" t="s">
        <v>278</v>
      </c>
      <c r="E79" s="260" t="s">
        <v>213</v>
      </c>
      <c r="F79" s="260">
        <v>18.46</v>
      </c>
      <c r="G79" t="str">
        <f>IFERROR(VLOOKUP(TRIM(E79), 'Expense Category Mapping'!A:B, 2, FALSE), "Misc")</f>
        <v>Business Expenses</v>
      </c>
    </row>
    <row r="80">
      <c r="A80" s="258">
        <v>46127.0</v>
      </c>
      <c r="B80" s="259">
        <v>46128.0</v>
      </c>
      <c r="C80" s="260">
        <v>9518.0</v>
      </c>
      <c r="D80" s="264" t="s">
        <v>279</v>
      </c>
      <c r="E80" s="111" t="s">
        <v>87</v>
      </c>
      <c r="F80" s="260">
        <v>2.99</v>
      </c>
      <c r="G80" t="str">
        <f>IFERROR(VLOOKUP(TRIM(E80), 'Expense Category Mapping'!A:B, 2, FALSE), "Misc")</f>
        <v>Subscriptions</v>
      </c>
    </row>
    <row r="81">
      <c r="A81" s="258">
        <v>46126.0</v>
      </c>
      <c r="B81" s="259">
        <v>46128.0</v>
      </c>
      <c r="C81" s="260">
        <v>9518.0</v>
      </c>
      <c r="D81" s="260" t="s">
        <v>280</v>
      </c>
      <c r="E81" s="260" t="s">
        <v>136</v>
      </c>
      <c r="F81" s="260">
        <v>17.25</v>
      </c>
      <c r="G81" t="str">
        <f>IFERROR(VLOOKUP(TRIM(E81), 'Expense Category Mapping'!A:B, 2, FALSE), "Misc")</f>
        <v>Entertainment</v>
      </c>
    </row>
    <row r="82">
      <c r="A82" s="258">
        <v>46126.0</v>
      </c>
      <c r="B82" s="259">
        <v>46127.0</v>
      </c>
      <c r="C82" s="260">
        <v>9518.0</v>
      </c>
      <c r="D82" s="260" t="s">
        <v>281</v>
      </c>
      <c r="E82" s="260" t="s">
        <v>72</v>
      </c>
      <c r="F82" s="260">
        <v>4.34</v>
      </c>
      <c r="G82" t="str">
        <f>IFERROR(VLOOKUP(TRIM(E82), 'Expense Category Mapping'!A:B, 2, FALSE), "Misc")</f>
        <v>Coffee</v>
      </c>
    </row>
    <row r="83">
      <c r="A83" s="258">
        <v>46124.0</v>
      </c>
      <c r="B83" s="259">
        <v>46126.0</v>
      </c>
      <c r="C83" s="260">
        <v>9518.0</v>
      </c>
      <c r="D83" s="260" t="s">
        <v>282</v>
      </c>
      <c r="E83" s="260" t="s">
        <v>205</v>
      </c>
      <c r="F83" s="260">
        <v>1.0</v>
      </c>
      <c r="G83" t="str">
        <f>IFERROR(VLOOKUP(TRIM(E83), 'Expense Category Mapping'!A:B, 2, FALSE), "Misc")</f>
        <v>Shopping</v>
      </c>
    </row>
    <row r="84">
      <c r="A84" s="258">
        <v>46124.0</v>
      </c>
      <c r="B84" s="259">
        <v>46126.0</v>
      </c>
      <c r="C84" s="260">
        <v>9518.0</v>
      </c>
      <c r="D84" s="260" t="s">
        <v>283</v>
      </c>
      <c r="E84" s="260" t="s">
        <v>205</v>
      </c>
      <c r="F84" s="260">
        <v>5.0</v>
      </c>
      <c r="G84" t="str">
        <f>IFERROR(VLOOKUP(TRIM(E84), 'Expense Category Mapping'!A:B, 2, FALSE), "Misc")</f>
        <v>Shopping</v>
      </c>
    </row>
    <row r="85">
      <c r="A85" s="258">
        <v>46125.0</v>
      </c>
      <c r="B85" s="259">
        <v>46125.0</v>
      </c>
      <c r="C85" s="260">
        <v>9518.0</v>
      </c>
      <c r="D85" s="260" t="s">
        <v>212</v>
      </c>
      <c r="E85" s="260" t="s">
        <v>213</v>
      </c>
      <c r="F85" s="260">
        <v>21.11</v>
      </c>
      <c r="G85" t="str">
        <f>IFERROR(VLOOKUP(TRIM(E85), 'Expense Category Mapping'!A:B, 2, FALSE), "Misc")</f>
        <v>Business Expenses</v>
      </c>
    </row>
    <row r="86">
      <c r="A86" s="258">
        <v>46124.0</v>
      </c>
      <c r="B86" s="259">
        <v>46125.0</v>
      </c>
      <c r="C86" s="260">
        <v>9518.0</v>
      </c>
      <c r="D86" s="260" t="s">
        <v>284</v>
      </c>
      <c r="E86" s="260" t="s">
        <v>119</v>
      </c>
      <c r="F86" s="260">
        <v>13.27</v>
      </c>
      <c r="G86" t="str">
        <f>IFERROR(VLOOKUP(TRIM(E86), 'Expense Category Mapping'!A:B, 2, FALSE), "Misc")</f>
        <v>Dining</v>
      </c>
    </row>
    <row r="87">
      <c r="A87" s="258">
        <v>46124.0</v>
      </c>
      <c r="B87" s="259">
        <v>46125.0</v>
      </c>
      <c r="C87" s="260">
        <v>9518.0</v>
      </c>
      <c r="D87" s="260" t="s">
        <v>285</v>
      </c>
      <c r="E87" s="260" t="s">
        <v>119</v>
      </c>
      <c r="F87" s="260">
        <v>15.9</v>
      </c>
      <c r="G87" t="str">
        <f>IFERROR(VLOOKUP(TRIM(E87), 'Expense Category Mapping'!A:B, 2, FALSE), "Misc")</f>
        <v>Dining</v>
      </c>
    </row>
    <row r="88">
      <c r="A88" s="258">
        <v>46123.0</v>
      </c>
      <c r="B88" s="259">
        <v>46125.0</v>
      </c>
      <c r="C88" s="260">
        <v>9518.0</v>
      </c>
      <c r="D88" s="260" t="s">
        <v>286</v>
      </c>
      <c r="E88" s="260" t="s">
        <v>119</v>
      </c>
      <c r="F88" s="260">
        <v>31.19</v>
      </c>
      <c r="G88" t="str">
        <f>IFERROR(VLOOKUP(TRIM(E88), 'Expense Category Mapping'!A:B, 2, FALSE), "Misc")</f>
        <v>Dining</v>
      </c>
    </row>
    <row r="89">
      <c r="A89" s="258">
        <v>46122.0</v>
      </c>
      <c r="B89" s="259">
        <v>46125.0</v>
      </c>
      <c r="C89" s="260">
        <v>9518.0</v>
      </c>
      <c r="D89" s="260" t="s">
        <v>282</v>
      </c>
      <c r="E89" s="260" t="s">
        <v>205</v>
      </c>
      <c r="F89" s="260">
        <v>9.87</v>
      </c>
      <c r="G89" t="str">
        <f>IFERROR(VLOOKUP(TRIM(E89), 'Expense Category Mapping'!A:B, 2, FALSE), "Misc")</f>
        <v>Shopping</v>
      </c>
    </row>
    <row r="90">
      <c r="A90" s="258">
        <v>46122.0</v>
      </c>
      <c r="B90" s="259">
        <v>46125.0</v>
      </c>
      <c r="C90" s="260">
        <v>9518.0</v>
      </c>
      <c r="D90" s="260" t="s">
        <v>287</v>
      </c>
      <c r="E90" s="260" t="s">
        <v>205</v>
      </c>
      <c r="F90" s="260">
        <v>5.25</v>
      </c>
      <c r="G90" t="str">
        <f>IFERROR(VLOOKUP(TRIM(E90), 'Expense Category Mapping'!A:B, 2, FALSE), "Misc")</f>
        <v>Shopping</v>
      </c>
    </row>
    <row r="91">
      <c r="A91" s="258">
        <v>46122.0</v>
      </c>
      <c r="B91" s="259">
        <v>46123.0</v>
      </c>
      <c r="C91" s="260">
        <v>9518.0</v>
      </c>
      <c r="D91" s="260" t="s">
        <v>288</v>
      </c>
      <c r="E91" s="260" t="s">
        <v>119</v>
      </c>
      <c r="F91" s="260">
        <v>27.27</v>
      </c>
      <c r="G91" t="str">
        <f>IFERROR(VLOOKUP(TRIM(E91), 'Expense Category Mapping'!A:B, 2, FALSE), "Misc")</f>
        <v>Dining</v>
      </c>
    </row>
    <row r="92">
      <c r="A92" s="258">
        <v>46122.0</v>
      </c>
      <c r="B92" s="259">
        <v>46123.0</v>
      </c>
      <c r="C92" s="260">
        <v>9518.0</v>
      </c>
      <c r="D92" s="260" t="s">
        <v>270</v>
      </c>
      <c r="E92" s="260" t="s">
        <v>207</v>
      </c>
      <c r="F92" s="260">
        <v>20.0</v>
      </c>
      <c r="G92" t="str">
        <f>IFERROR(VLOOKUP(TRIM(E92), 'Expense Category Mapping'!A:B, 2, FALSE), "Misc")</f>
        <v>Transportation</v>
      </c>
    </row>
    <row r="93">
      <c r="A93" s="258">
        <v>46122.0</v>
      </c>
      <c r="B93" s="259">
        <v>46123.0</v>
      </c>
      <c r="C93" s="260">
        <v>9518.0</v>
      </c>
      <c r="D93" s="260" t="s">
        <v>206</v>
      </c>
      <c r="E93" s="260" t="s">
        <v>207</v>
      </c>
      <c r="F93" s="260">
        <v>2.85</v>
      </c>
      <c r="G93" t="str">
        <f>IFERROR(VLOOKUP(TRIM(E93), 'Expense Category Mapping'!A:B, 2, FALSE), "Misc")</f>
        <v>Transportation</v>
      </c>
    </row>
    <row r="94">
      <c r="A94" s="258">
        <v>46121.0</v>
      </c>
      <c r="B94" s="259">
        <v>46123.0</v>
      </c>
      <c r="C94" s="260">
        <v>9518.0</v>
      </c>
      <c r="D94" s="260" t="s">
        <v>289</v>
      </c>
      <c r="E94" s="260" t="s">
        <v>205</v>
      </c>
      <c r="F94" s="260">
        <v>20.01</v>
      </c>
      <c r="G94" t="str">
        <f>IFERROR(VLOOKUP(TRIM(E94), 'Expense Category Mapping'!A:B, 2, FALSE), "Misc")</f>
        <v>Shopping</v>
      </c>
    </row>
    <row r="95">
      <c r="A95" s="258">
        <v>46120.0</v>
      </c>
      <c r="B95" s="259">
        <v>46121.0</v>
      </c>
      <c r="C95" s="260">
        <v>9518.0</v>
      </c>
      <c r="D95" s="260" t="s">
        <v>290</v>
      </c>
      <c r="E95" s="260" t="s">
        <v>72</v>
      </c>
      <c r="F95" s="260">
        <v>5.25</v>
      </c>
      <c r="G95" t="str">
        <f>IFERROR(VLOOKUP(TRIM(E95), 'Expense Category Mapping'!A:B, 2, FALSE), "Misc")</f>
        <v>Coffee</v>
      </c>
    </row>
    <row r="96">
      <c r="A96" s="258">
        <v>46119.0</v>
      </c>
      <c r="B96" s="259">
        <v>46120.0</v>
      </c>
      <c r="C96" s="260">
        <v>9518.0</v>
      </c>
      <c r="D96" s="260" t="s">
        <v>291</v>
      </c>
      <c r="E96" s="260" t="s">
        <v>205</v>
      </c>
      <c r="F96" s="260">
        <v>25.09</v>
      </c>
      <c r="G96" t="str">
        <f>IFERROR(VLOOKUP(TRIM(E96), 'Expense Category Mapping'!A:B, 2, FALSE), "Misc")</f>
        <v>Shopping</v>
      </c>
    </row>
    <row r="97">
      <c r="A97" s="258">
        <v>46119.0</v>
      </c>
      <c r="B97" s="259">
        <v>46120.0</v>
      </c>
      <c r="C97" s="260">
        <v>9518.0</v>
      </c>
      <c r="D97" s="260" t="s">
        <v>206</v>
      </c>
      <c r="E97" s="260" t="s">
        <v>207</v>
      </c>
      <c r="F97" s="260">
        <v>2.85</v>
      </c>
      <c r="G97" t="str">
        <f>IFERROR(VLOOKUP(TRIM(E97), 'Expense Category Mapping'!A:B, 2, FALSE), "Misc")</f>
        <v>Transportation</v>
      </c>
    </row>
    <row r="98">
      <c r="A98" s="258">
        <v>46118.0</v>
      </c>
      <c r="B98" s="259">
        <v>46119.0</v>
      </c>
      <c r="C98" s="260">
        <v>9518.0</v>
      </c>
      <c r="D98" s="260" t="s">
        <v>292</v>
      </c>
      <c r="E98" s="260" t="s">
        <v>79</v>
      </c>
      <c r="F98" s="260">
        <v>6.37</v>
      </c>
      <c r="G98" t="str">
        <f>IFERROR(VLOOKUP(TRIM(E98), 'Expense Category Mapping'!A:B, 2, FALSE), "Misc")</f>
        <v>Other Services</v>
      </c>
    </row>
    <row r="99">
      <c r="A99" s="258">
        <v>46118.0</v>
      </c>
      <c r="B99" s="259">
        <v>46119.0</v>
      </c>
      <c r="C99" s="260">
        <v>9518.0</v>
      </c>
      <c r="D99" s="260" t="s">
        <v>293</v>
      </c>
      <c r="E99" s="260" t="s">
        <v>119</v>
      </c>
      <c r="F99" s="260">
        <v>6.0</v>
      </c>
      <c r="G99" t="str">
        <f>IFERROR(VLOOKUP(TRIM(E99), 'Expense Category Mapping'!A:B, 2, FALSE), "Misc")</f>
        <v>Dining</v>
      </c>
    </row>
    <row r="100">
      <c r="A100" s="258">
        <v>46118.0</v>
      </c>
      <c r="B100" s="259">
        <v>46118.0</v>
      </c>
      <c r="C100" s="260">
        <v>9518.0</v>
      </c>
      <c r="D100" s="260" t="s">
        <v>212</v>
      </c>
      <c r="E100" s="260" t="s">
        <v>213</v>
      </c>
      <c r="F100" s="260">
        <v>34.87</v>
      </c>
      <c r="G100" t="str">
        <f>IFERROR(VLOOKUP(TRIM(E100), 'Expense Category Mapping'!A:B, 2, FALSE), "Misc")</f>
        <v>Business Expenses</v>
      </c>
    </row>
    <row r="101">
      <c r="A101" s="258">
        <v>46118.0</v>
      </c>
      <c r="B101" s="259">
        <v>46118.0</v>
      </c>
      <c r="C101" s="260">
        <v>9518.0</v>
      </c>
      <c r="D101" s="260" t="s">
        <v>294</v>
      </c>
      <c r="E101" s="260" t="s">
        <v>207</v>
      </c>
      <c r="F101" s="260">
        <v>3.06</v>
      </c>
      <c r="G101" t="str">
        <f>IFERROR(VLOOKUP(TRIM(E101), 'Expense Category Mapping'!A:B, 2, FALSE), "Misc")</f>
        <v>Transportation</v>
      </c>
    </row>
    <row r="102">
      <c r="A102" s="258">
        <v>46116.0</v>
      </c>
      <c r="B102" s="259">
        <v>46118.0</v>
      </c>
      <c r="C102" s="260">
        <v>9518.0</v>
      </c>
      <c r="D102" s="260" t="s">
        <v>206</v>
      </c>
      <c r="E102" s="260" t="s">
        <v>207</v>
      </c>
      <c r="F102" s="260">
        <v>2.85</v>
      </c>
      <c r="G102" t="str">
        <f>IFERROR(VLOOKUP(TRIM(E102), 'Expense Category Mapping'!A:B, 2, FALSE), "Misc")</f>
        <v>Transportation</v>
      </c>
    </row>
    <row r="103">
      <c r="A103" s="258">
        <v>46117.0</v>
      </c>
      <c r="B103" s="259">
        <v>46118.0</v>
      </c>
      <c r="C103" s="260">
        <v>9518.0</v>
      </c>
      <c r="D103" s="260" t="s">
        <v>295</v>
      </c>
      <c r="E103" s="260" t="s">
        <v>119</v>
      </c>
      <c r="F103" s="260">
        <v>5.42</v>
      </c>
      <c r="G103" t="str">
        <f>IFERROR(VLOOKUP(TRIM(E103), 'Expense Category Mapping'!A:B, 2, FALSE), "Misc")</f>
        <v>Dining</v>
      </c>
    </row>
    <row r="104">
      <c r="A104" s="258">
        <v>46116.0</v>
      </c>
      <c r="B104" s="259">
        <v>46118.0</v>
      </c>
      <c r="C104" s="260">
        <v>9518.0</v>
      </c>
      <c r="D104" s="260" t="s">
        <v>296</v>
      </c>
      <c r="E104" s="260" t="s">
        <v>119</v>
      </c>
      <c r="F104" s="260">
        <v>1.09</v>
      </c>
      <c r="G104" t="str">
        <f>IFERROR(VLOOKUP(TRIM(E104), 'Expense Category Mapping'!A:B, 2, FALSE), "Misc")</f>
        <v>Dining</v>
      </c>
    </row>
    <row r="105">
      <c r="A105" s="258">
        <v>46116.0</v>
      </c>
      <c r="B105" s="259">
        <v>46118.0</v>
      </c>
      <c r="C105" s="260">
        <v>9518.0</v>
      </c>
      <c r="D105" s="260" t="s">
        <v>266</v>
      </c>
      <c r="E105" s="260" t="s">
        <v>205</v>
      </c>
      <c r="F105" s="260">
        <v>3.22</v>
      </c>
      <c r="G105" t="str">
        <f>IFERROR(VLOOKUP(TRIM(E105), 'Expense Category Mapping'!A:B, 2, FALSE), "Misc")</f>
        <v>Shopping</v>
      </c>
    </row>
    <row r="106">
      <c r="A106" s="258">
        <v>46115.0</v>
      </c>
      <c r="B106" s="259">
        <v>46116.0</v>
      </c>
      <c r="C106" s="260">
        <v>9518.0</v>
      </c>
      <c r="D106" s="260" t="s">
        <v>297</v>
      </c>
      <c r="E106" s="260" t="s">
        <v>213</v>
      </c>
      <c r="F106" s="260">
        <v>150.0</v>
      </c>
      <c r="G106" t="str">
        <f>IFERROR(VLOOKUP(TRIM(E106), 'Expense Category Mapping'!A:B, 2, FALSE), "Misc")</f>
        <v>Business Expenses</v>
      </c>
    </row>
    <row r="107">
      <c r="A107" s="258">
        <v>46115.0</v>
      </c>
      <c r="B107" s="259">
        <v>46116.0</v>
      </c>
      <c r="C107" s="260">
        <v>9518.0</v>
      </c>
      <c r="D107" s="260" t="s">
        <v>206</v>
      </c>
      <c r="E107" s="260" t="s">
        <v>207</v>
      </c>
      <c r="F107" s="260">
        <v>4.6</v>
      </c>
      <c r="G107" t="str">
        <f>IFERROR(VLOOKUP(TRIM(E107), 'Expense Category Mapping'!A:B, 2, FALSE), "Misc")</f>
        <v>Transportation</v>
      </c>
    </row>
    <row r="108">
      <c r="A108" s="258">
        <v>46114.0</v>
      </c>
      <c r="B108" s="259">
        <v>46116.0</v>
      </c>
      <c r="C108" s="260">
        <v>9518.0</v>
      </c>
      <c r="D108" s="260" t="s">
        <v>206</v>
      </c>
      <c r="E108" s="260" t="s">
        <v>207</v>
      </c>
      <c r="F108" s="260">
        <v>4.6</v>
      </c>
      <c r="G108" t="str">
        <f>IFERROR(VLOOKUP(TRIM(E108), 'Expense Category Mapping'!A:B, 2, FALSE), "Misc")</f>
        <v>Transportation</v>
      </c>
    </row>
    <row r="109">
      <c r="G109" t="str">
        <f>IFERROR(VLOOKUP(TRIM(E109), 'Expense Category Mapping'!A:B, 2, FALSE), "Misc")</f>
        <v>Misc</v>
      </c>
    </row>
    <row r="110">
      <c r="G110" t="str">
        <f>IFERROR(VLOOKUP(TRIM(E110), 'Expense Category Mapping'!A:B, 2, FALSE), "Misc")</f>
        <v>Misc</v>
      </c>
    </row>
    <row r="111">
      <c r="G111" t="str">
        <f>IFERROR(VLOOKUP(TRIM(E111), 'Expense Category Mapping'!A:B, 2, FALSE), "Misc")</f>
        <v>Misc</v>
      </c>
    </row>
    <row r="112">
      <c r="G112" t="str">
        <f>IFERROR(VLOOKUP(TRIM(E112), 'Expense Category Mapping'!A:B, 2, FALSE), "Misc")</f>
        <v>Misc</v>
      </c>
    </row>
    <row r="113">
      <c r="G113" t="str">
        <f>IFERROR(VLOOKUP(TRIM(E113), 'Expense Category Mapping'!A:B, 2, FALSE), "Misc")</f>
        <v>Misc</v>
      </c>
    </row>
    <row r="114">
      <c r="G114" t="str">
        <f>IFERROR(VLOOKUP(TRIM(E114), 'Expense Category Mapping'!A:B, 2, FALSE), "Misc")</f>
        <v>Misc</v>
      </c>
    </row>
    <row r="115">
      <c r="G115" t="str">
        <f>IFERROR(VLOOKUP(TRIM(E115), 'Expense Category Mapping'!A:B, 2, FALSE), "Misc")</f>
        <v>Misc</v>
      </c>
    </row>
    <row r="116">
      <c r="G116" t="str">
        <f>IFERROR(VLOOKUP(TRIM(E116), 'Expense Category Mapping'!A:B, 2, FALSE), "Misc")</f>
        <v>Misc</v>
      </c>
    </row>
    <row r="117">
      <c r="G117" t="str">
        <f>IFERROR(VLOOKUP(TRIM(E117), 'Expense Category Mapping'!A:B, 2, FALSE), "Misc")</f>
        <v>Misc</v>
      </c>
    </row>
    <row r="118">
      <c r="G118" t="str">
        <f>IFERROR(VLOOKUP(TRIM(E118), 'Expense Category Mapping'!A:B, 2, FALSE), "Misc")</f>
        <v>Misc</v>
      </c>
    </row>
    <row r="119">
      <c r="G119" t="str">
        <f>IFERROR(VLOOKUP(TRIM(E119), 'Expense Category Mapping'!A:B, 2, FALSE), "Misc")</f>
        <v>Misc</v>
      </c>
    </row>
    <row r="120">
      <c r="G120" t="str">
        <f>IFERROR(VLOOKUP(TRIM(E120), 'Expense Category Mapping'!A:B, 2, FALSE), "Misc")</f>
        <v>Misc</v>
      </c>
    </row>
    <row r="121">
      <c r="G121" t="str">
        <f>IFERROR(VLOOKUP(TRIM(E121), 'Expense Category Mapping'!A:B, 2, FALSE), "Misc")</f>
        <v>Misc</v>
      </c>
    </row>
    <row r="122">
      <c r="G122" t="str">
        <f>IFERROR(VLOOKUP(TRIM(E122), 'Expense Category Mapping'!A:B, 2, FALSE), "Misc")</f>
        <v>Misc</v>
      </c>
    </row>
    <row r="123">
      <c r="G123" t="str">
        <f>IFERROR(VLOOKUP(TRIM(E123), 'Expense Category Mapping'!A:B, 2, FALSE), "Misc")</f>
        <v>Misc</v>
      </c>
    </row>
    <row r="124">
      <c r="G124" t="str">
        <f>IFERROR(VLOOKUP(TRIM(E124), 'Expense Category Mapping'!A:B, 2, FALSE), "Misc")</f>
        <v>Misc</v>
      </c>
    </row>
    <row r="125">
      <c r="G125" t="str">
        <f>IFERROR(VLOOKUP(TRIM(E125), 'Expense Category Mapping'!A:B, 2, FALSE), "Misc")</f>
        <v>Misc</v>
      </c>
    </row>
    <row r="126">
      <c r="G126" t="str">
        <f>IFERROR(VLOOKUP(TRIM(E126), 'Expense Category Mapping'!A:B, 2, FALSE), "Misc")</f>
        <v>Misc</v>
      </c>
    </row>
    <row r="127">
      <c r="G127" t="str">
        <f>IFERROR(VLOOKUP(TRIM(E127), 'Expense Category Mapping'!A:B, 2, FALSE), "Misc")</f>
        <v>Misc</v>
      </c>
    </row>
    <row r="128">
      <c r="G128" t="str">
        <f>IFERROR(VLOOKUP(TRIM(E128), 'Expense Category Mapping'!A:B, 2, FALSE), "Misc")</f>
        <v>Misc</v>
      </c>
    </row>
    <row r="129">
      <c r="G129" t="str">
        <f>IFERROR(VLOOKUP(TRIM(E129), 'Expense Category Mapping'!A:B, 2, FALSE), "Misc")</f>
        <v>Misc</v>
      </c>
    </row>
    <row r="130">
      <c r="G130" t="str">
        <f>IFERROR(VLOOKUP(TRIM(E130), 'Expense Category Mapping'!A:B, 2, FALSE), "Misc")</f>
        <v>Misc</v>
      </c>
    </row>
    <row r="131">
      <c r="G131" t="str">
        <f>IFERROR(VLOOKUP(TRIM(E131), 'Expense Category Mapping'!A:B, 2, FALSE), "Misc")</f>
        <v>Misc</v>
      </c>
    </row>
    <row r="132">
      <c r="G132" t="str">
        <f>IFERROR(VLOOKUP(TRIM(E132), 'Expense Category Mapping'!A:B, 2, FALSE), "Misc")</f>
        <v>Misc</v>
      </c>
    </row>
    <row r="133">
      <c r="G133" t="str">
        <f>IFERROR(VLOOKUP(TRIM(E133), 'Expense Category Mapping'!A:B, 2, FALSE), "Misc")</f>
        <v>Misc</v>
      </c>
    </row>
    <row r="134">
      <c r="G134" t="str">
        <f>IFERROR(VLOOKUP(TRIM(E134), 'Expense Category Mapping'!A:B, 2, FALSE), "Misc")</f>
        <v>Misc</v>
      </c>
    </row>
    <row r="135">
      <c r="G135" t="str">
        <f>IFERROR(VLOOKUP(TRIM(E135), 'Expense Category Mapping'!A:B, 2, FALSE), "Misc")</f>
        <v>Misc</v>
      </c>
    </row>
    <row r="136">
      <c r="G136" t="str">
        <f>IFERROR(VLOOKUP(TRIM(E136), 'Expense Category Mapping'!A:B, 2, FALSE), "Misc")</f>
        <v>Misc</v>
      </c>
    </row>
    <row r="137">
      <c r="G137" t="str">
        <f>IFERROR(VLOOKUP(TRIM(E137), 'Expense Category Mapping'!A:B, 2, FALSE), "Misc")</f>
        <v>Misc</v>
      </c>
    </row>
    <row r="138">
      <c r="G138" t="str">
        <f>IFERROR(VLOOKUP(TRIM(E138), 'Expense Category Mapping'!A:B, 2, FALSE), "Misc")</f>
        <v>Misc</v>
      </c>
    </row>
    <row r="139">
      <c r="G139" t="str">
        <f>IFERROR(VLOOKUP(TRIM(E139), 'Expense Category Mapping'!A:B, 2, FALSE), "Misc")</f>
        <v>Misc</v>
      </c>
    </row>
    <row r="140">
      <c r="G140" t="str">
        <f>IFERROR(VLOOKUP(TRIM(E140), 'Expense Category Mapping'!A:B, 2, FALSE), "Misc")</f>
        <v>Misc</v>
      </c>
    </row>
    <row r="141">
      <c r="G141" t="str">
        <f>IFERROR(VLOOKUP(TRIM(E141), 'Expense Category Mapping'!A:B, 2, FALSE), "Misc")</f>
        <v>Misc</v>
      </c>
    </row>
    <row r="142">
      <c r="G142" t="str">
        <f>IFERROR(VLOOKUP(TRIM(E142), 'Expense Category Mapping'!A:B, 2, FALSE), "Misc")</f>
        <v>Misc</v>
      </c>
    </row>
    <row r="143">
      <c r="G143" t="str">
        <f>IFERROR(VLOOKUP(TRIM(E143), 'Expense Category Mapping'!A:B, 2, FALSE), "Misc")</f>
        <v>Misc</v>
      </c>
    </row>
    <row r="144">
      <c r="G144" t="str">
        <f>IFERROR(VLOOKUP(TRIM(E144), 'Expense Category Mapping'!A:B, 2, FALSE), "Misc")</f>
        <v>Misc</v>
      </c>
    </row>
    <row r="145">
      <c r="G145" t="str">
        <f>IFERROR(VLOOKUP(TRIM(E145), 'Expense Category Mapping'!A:B, 2, FALSE), "Misc")</f>
        <v>Misc</v>
      </c>
    </row>
    <row r="146">
      <c r="G146" t="str">
        <f>IFERROR(VLOOKUP(TRIM(E146), 'Expense Category Mapping'!A:B, 2, FALSE), "Misc")</f>
        <v>Misc</v>
      </c>
    </row>
    <row r="147">
      <c r="G147" t="str">
        <f>IFERROR(VLOOKUP(TRIM(E147), 'Expense Category Mapping'!A:B, 2, FALSE), "Misc")</f>
        <v>Misc</v>
      </c>
    </row>
    <row r="148">
      <c r="G148" t="str">
        <f>IFERROR(VLOOKUP(TRIM(E148), 'Expense Category Mapping'!A:B, 2, FALSE), "Misc")</f>
        <v>Misc</v>
      </c>
    </row>
    <row r="149">
      <c r="G149" t="str">
        <f>IFERROR(VLOOKUP(TRIM(E149), 'Expense Category Mapping'!A:B, 2, FALSE), "Misc")</f>
        <v>Misc</v>
      </c>
    </row>
    <row r="150">
      <c r="G150" t="str">
        <f>IFERROR(VLOOKUP(TRIM(E150), 'Expense Category Mapping'!A:B, 2, FALSE), "Misc")</f>
        <v>Misc</v>
      </c>
    </row>
    <row r="151">
      <c r="G151" t="str">
        <f>IFERROR(VLOOKUP(TRIM(E151), 'Expense Category Mapping'!A:B, 2, FALSE), "Misc")</f>
        <v>Misc</v>
      </c>
    </row>
    <row r="152">
      <c r="G152" t="str">
        <f>IFERROR(VLOOKUP(TRIM(E152), 'Expense Category Mapping'!A:B, 2, FALSE), "Misc")</f>
        <v>Misc</v>
      </c>
    </row>
    <row r="153">
      <c r="G153" t="str">
        <f>IFERROR(VLOOKUP(TRIM(E153), 'Expense Category Mapping'!A:B, 2, FALSE), "Misc")</f>
        <v>Misc</v>
      </c>
    </row>
    <row r="154">
      <c r="G154" t="str">
        <f>IFERROR(VLOOKUP(TRIM(E154), 'Expense Category Mapping'!A:B, 2, FALSE), "Misc")</f>
        <v>Misc</v>
      </c>
    </row>
    <row r="155">
      <c r="G155" t="str">
        <f>IFERROR(VLOOKUP(TRIM(E155), 'Expense Category Mapping'!A:B, 2, FALSE), "Misc")</f>
        <v>Misc</v>
      </c>
    </row>
    <row r="156">
      <c r="G156" t="str">
        <f>IFERROR(VLOOKUP(TRIM(E156), 'Expense Category Mapping'!A:B, 2, FALSE), "Misc")</f>
        <v>Misc</v>
      </c>
    </row>
    <row r="157">
      <c r="G157" t="str">
        <f>IFERROR(VLOOKUP(TRIM(E157), 'Expense Category Mapping'!A:B, 2, FALSE), "Misc")</f>
        <v>Misc</v>
      </c>
    </row>
    <row r="158">
      <c r="G158" t="str">
        <f>IFERROR(VLOOKUP(TRIM(E158), 'Expense Category Mapping'!A:B, 2, FALSE), "Misc")</f>
        <v>Misc</v>
      </c>
    </row>
    <row r="159">
      <c r="G159" t="str">
        <f>IFERROR(VLOOKUP(TRIM(E159), 'Expense Category Mapping'!A:B, 2, FALSE), "Misc")</f>
        <v>Misc</v>
      </c>
    </row>
    <row r="160">
      <c r="G160" t="str">
        <f>IFERROR(VLOOKUP(TRIM(E160), 'Expense Category Mapping'!A:B, 2, FALSE), "Misc")</f>
        <v>Misc</v>
      </c>
    </row>
    <row r="161">
      <c r="G161" t="str">
        <f>IFERROR(VLOOKUP(TRIM(E161), 'Expense Category Mapping'!A:B, 2, FALSE), "Misc")</f>
        <v>Misc</v>
      </c>
    </row>
    <row r="162">
      <c r="G162" t="str">
        <f>IFERROR(VLOOKUP(TRIM(E162), 'Expense Category Mapping'!A:B, 2, FALSE), "Misc")</f>
        <v>Misc</v>
      </c>
    </row>
    <row r="163">
      <c r="G163" t="str">
        <f>IFERROR(VLOOKUP(TRIM(E163), 'Expense Category Mapping'!A:B, 2, FALSE), "Misc")</f>
        <v>Misc</v>
      </c>
    </row>
    <row r="164">
      <c r="G164" t="str">
        <f>IFERROR(VLOOKUP(TRIM(E164), 'Expense Category Mapping'!A:B, 2, FALSE), "Misc")</f>
        <v>Misc</v>
      </c>
    </row>
    <row r="165">
      <c r="G165" t="str">
        <f>IFERROR(VLOOKUP(TRIM(E165), 'Expense Category Mapping'!A:B, 2, FALSE), "Misc")</f>
        <v>Misc</v>
      </c>
    </row>
    <row r="166">
      <c r="G166" t="str">
        <f>IFERROR(VLOOKUP(TRIM(E166), 'Expense Category Mapping'!A:B, 2, FALSE), "Misc")</f>
        <v>Misc</v>
      </c>
    </row>
    <row r="167">
      <c r="G167" t="str">
        <f>IFERROR(VLOOKUP(TRIM(E167), 'Expense Category Mapping'!A:B, 2, FALSE), "Misc")</f>
        <v>Misc</v>
      </c>
    </row>
    <row r="168">
      <c r="G168" t="str">
        <f>IFERROR(VLOOKUP(TRIM(E168), 'Expense Category Mapping'!A:B, 2, FALSE), "Misc")</f>
        <v>Misc</v>
      </c>
    </row>
    <row r="169">
      <c r="G169" t="str">
        <f>IFERROR(VLOOKUP(TRIM(E169), 'Expense Category Mapping'!A:B, 2, FALSE), "Misc")</f>
        <v>Misc</v>
      </c>
    </row>
    <row r="170">
      <c r="G170" t="str">
        <f>IFERROR(VLOOKUP(TRIM(E170), 'Expense Category Mapping'!A:B, 2, FALSE), "Misc")</f>
        <v>Misc</v>
      </c>
    </row>
    <row r="171">
      <c r="G171" t="str">
        <f>IFERROR(VLOOKUP(TRIM(E171), 'Expense Category Mapping'!A:B, 2, FALSE), "Misc")</f>
        <v>Misc</v>
      </c>
    </row>
    <row r="172">
      <c r="G172" t="str">
        <f>IFERROR(VLOOKUP(TRIM(E172), 'Expense Category Mapping'!A:B, 2, FALSE), "Misc")</f>
        <v>Misc</v>
      </c>
    </row>
    <row r="173">
      <c r="G173" t="str">
        <f>IFERROR(VLOOKUP(TRIM(E173), 'Expense Category Mapping'!A:B, 2, FALSE), "Misc")</f>
        <v>Misc</v>
      </c>
    </row>
    <row r="174">
      <c r="G174" t="str">
        <f>IFERROR(VLOOKUP(TRIM(E174), 'Expense Category Mapping'!A:B, 2, FALSE), "Misc")</f>
        <v>Misc</v>
      </c>
    </row>
    <row r="175">
      <c r="G175" t="str">
        <f>IFERROR(VLOOKUP(TRIM(E175), 'Expense Category Mapping'!A:B, 2, FALSE), "Misc")</f>
        <v>Misc</v>
      </c>
    </row>
    <row r="176">
      <c r="G176" t="str">
        <f>IFERROR(VLOOKUP(TRIM(E176), 'Expense Category Mapping'!A:B, 2, FALSE), "Misc")</f>
        <v>Misc</v>
      </c>
    </row>
    <row r="177">
      <c r="G177" t="str">
        <f>IFERROR(VLOOKUP(TRIM(E177), 'Expense Category Mapping'!A:B, 2, FALSE), "Misc")</f>
        <v>Misc</v>
      </c>
    </row>
    <row r="178">
      <c r="G178" t="str">
        <f>IFERROR(VLOOKUP(TRIM(E178), 'Expense Category Mapping'!A:B, 2, FALSE), "Misc")</f>
        <v>Misc</v>
      </c>
    </row>
    <row r="179">
      <c r="G179" t="str">
        <f>IFERROR(VLOOKUP(TRIM(E179), 'Expense Category Mapping'!A:B, 2, FALSE), "Misc")</f>
        <v>Misc</v>
      </c>
    </row>
    <row r="180">
      <c r="G180" t="str">
        <f>IFERROR(VLOOKUP(TRIM(E180), 'Expense Category Mapping'!A:B, 2, FALSE), "Misc")</f>
        <v>Misc</v>
      </c>
    </row>
    <row r="181">
      <c r="G181" t="str">
        <f>IFERROR(VLOOKUP(TRIM(E181), 'Expense Category Mapping'!A:B, 2, FALSE), "Misc")</f>
        <v>Misc</v>
      </c>
    </row>
    <row r="182">
      <c r="G182" t="str">
        <f>IFERROR(VLOOKUP(TRIM(E182), 'Expense Category Mapping'!A:B, 2, FALSE), "Misc")</f>
        <v>Misc</v>
      </c>
    </row>
    <row r="183">
      <c r="G183" t="str">
        <f>IFERROR(VLOOKUP(TRIM(E183), 'Expense Category Mapping'!A:B, 2, FALSE), "Misc")</f>
        <v>Misc</v>
      </c>
    </row>
    <row r="184">
      <c r="G184" t="str">
        <f>IFERROR(VLOOKUP(TRIM(E184), 'Expense Category Mapping'!A:B, 2, FALSE), "Misc")</f>
        <v>Misc</v>
      </c>
    </row>
    <row r="185">
      <c r="G185" t="str">
        <f>IFERROR(VLOOKUP(TRIM(E185), 'Expense Category Mapping'!A:B, 2, FALSE), "Misc")</f>
        <v>Misc</v>
      </c>
    </row>
    <row r="186">
      <c r="G186" t="str">
        <f>IFERROR(VLOOKUP(TRIM(E186), 'Expense Category Mapping'!A:B, 2, FALSE), "Misc")</f>
        <v>Misc</v>
      </c>
    </row>
    <row r="187">
      <c r="G187" t="str">
        <f>IFERROR(VLOOKUP(TRIM(E187), 'Expense Category Mapping'!A:B, 2, FALSE), "Misc")</f>
        <v>Misc</v>
      </c>
    </row>
    <row r="188">
      <c r="G188" t="str">
        <f>IFERROR(VLOOKUP(TRIM(E188), 'Expense Category Mapping'!A:B, 2, FALSE), "Misc")</f>
        <v>Misc</v>
      </c>
    </row>
    <row r="189">
      <c r="G189" t="str">
        <f>IFERROR(VLOOKUP(TRIM(E189), 'Expense Category Mapping'!A:B, 2, FALSE), "Misc")</f>
        <v>Misc</v>
      </c>
    </row>
    <row r="190">
      <c r="G190" t="str">
        <f>IFERROR(VLOOKUP(TRIM(E190), 'Expense Category Mapping'!A:B, 2, FALSE), "Misc")</f>
        <v>Misc</v>
      </c>
    </row>
    <row r="191">
      <c r="G191" t="str">
        <f>IFERROR(VLOOKUP(TRIM(E191), 'Expense Category Mapping'!A:B, 2, FALSE), "Misc")</f>
        <v>Misc</v>
      </c>
    </row>
    <row r="192">
      <c r="G192" t="str">
        <f>IFERROR(VLOOKUP(TRIM(E192), 'Expense Category Mapping'!A:B, 2, FALSE), "Misc")</f>
        <v>Misc</v>
      </c>
    </row>
    <row r="193">
      <c r="G193" t="str">
        <f>IFERROR(VLOOKUP(TRIM(E193), 'Expense Category Mapping'!A:B, 2, FALSE), "Misc")</f>
        <v>Misc</v>
      </c>
    </row>
    <row r="194">
      <c r="G194" t="str">
        <f>IFERROR(VLOOKUP(TRIM(E194), 'Expense Category Mapping'!A:B, 2, FALSE), "Misc")</f>
        <v>Misc</v>
      </c>
    </row>
    <row r="195">
      <c r="G195" t="str">
        <f>IFERROR(VLOOKUP(TRIM(E195), 'Expense Category Mapping'!A:B, 2, FALSE), "Misc")</f>
        <v>Misc</v>
      </c>
    </row>
    <row r="196">
      <c r="G196" t="str">
        <f>IFERROR(VLOOKUP(TRIM(E196), 'Expense Category Mapping'!A:B, 2, FALSE), "Misc")</f>
        <v>Misc</v>
      </c>
    </row>
    <row r="197">
      <c r="G197" t="str">
        <f>IFERROR(VLOOKUP(TRIM(E197), 'Expense Category Mapping'!A:B, 2, FALSE), "Misc")</f>
        <v>Misc</v>
      </c>
    </row>
    <row r="198">
      <c r="G198" t="str">
        <f>IFERROR(VLOOKUP(TRIM(E198), 'Expense Category Mapping'!A:B, 2, FALSE), "Misc")</f>
        <v>Misc</v>
      </c>
    </row>
    <row r="199">
      <c r="G199" t="str">
        <f>IFERROR(VLOOKUP(TRIM(E199), 'Expense Category Mapping'!A:B, 2, FALSE), "Misc")</f>
        <v>Misc</v>
      </c>
    </row>
    <row r="200">
      <c r="G200" t="str">
        <f>IFERROR(VLOOKUP(TRIM(E200), 'Expense Category Mapping'!A:B, 2, FALSE), "Misc")</f>
        <v>Misc</v>
      </c>
    </row>
    <row r="201">
      <c r="G201" t="str">
        <f>IFERROR(VLOOKUP(TRIM(E201), 'Expense Category Mapping'!A:B, 2, FALSE), "Misc")</f>
        <v>Misc</v>
      </c>
    </row>
    <row r="202">
      <c r="G202" t="str">
        <f>IFERROR(VLOOKUP(TRIM(E202), 'Expense Category Mapping'!A:B, 2, FALSE), "Misc")</f>
        <v>Misc</v>
      </c>
    </row>
    <row r="203">
      <c r="G203" t="str">
        <f>IFERROR(VLOOKUP(TRIM(E203), 'Expense Category Mapping'!A:B, 2, FALSE), "Misc")</f>
        <v>Misc</v>
      </c>
    </row>
    <row r="204">
      <c r="G204" t="str">
        <f>IFERROR(VLOOKUP(TRIM(E204), 'Expense Category Mapping'!A:B, 2, FALSE), "Misc")</f>
        <v>Misc</v>
      </c>
    </row>
    <row r="205">
      <c r="G205" t="str">
        <f>IFERROR(VLOOKUP(TRIM(E205), 'Expense Category Mapping'!A:B, 2, FALSE), "Misc")</f>
        <v>Misc</v>
      </c>
    </row>
    <row r="206">
      <c r="G206" t="str">
        <f>IFERROR(VLOOKUP(TRIM(E206), 'Expense Category Mapping'!A:B, 2, FALSE), "Misc")</f>
        <v>Misc</v>
      </c>
    </row>
    <row r="207">
      <c r="G207" t="str">
        <f>IFERROR(VLOOKUP(TRIM(E207), 'Expense Category Mapping'!A:B, 2, FALSE), "Misc")</f>
        <v>Misc</v>
      </c>
    </row>
    <row r="208">
      <c r="G208" t="str">
        <f>IFERROR(VLOOKUP(TRIM(E208), 'Expense Category Mapping'!A:B, 2, FALSE), "Misc")</f>
        <v>Misc</v>
      </c>
    </row>
    <row r="209">
      <c r="G209" t="str">
        <f>IFERROR(VLOOKUP(TRIM(E209), 'Expense Category Mapping'!A:B, 2, FALSE), "Misc")</f>
        <v>Misc</v>
      </c>
    </row>
    <row r="210">
      <c r="G210" t="str">
        <f>IFERROR(VLOOKUP(TRIM(E210), 'Expense Category Mapping'!A:B, 2, FALSE), "Misc")</f>
        <v>Misc</v>
      </c>
    </row>
    <row r="211">
      <c r="G211" t="str">
        <f>IFERROR(VLOOKUP(TRIM(E211), 'Expense Category Mapping'!A:B, 2, FALSE), "Misc")</f>
        <v>Misc</v>
      </c>
    </row>
    <row r="212">
      <c r="G212" t="str">
        <f>IFERROR(VLOOKUP(TRIM(E212), 'Expense Category Mapping'!A:B, 2, FALSE), "Misc")</f>
        <v>Misc</v>
      </c>
    </row>
    <row r="213">
      <c r="G213" t="str">
        <f>IFERROR(VLOOKUP(TRIM(E213), 'Expense Category Mapping'!A:B, 2, FALSE), "Misc")</f>
        <v>Misc</v>
      </c>
    </row>
    <row r="214">
      <c r="G214" t="str">
        <f>IFERROR(VLOOKUP(TRIM(E214), 'Expense Category Mapping'!A:B, 2, FALSE), "Misc")</f>
        <v>Misc</v>
      </c>
    </row>
    <row r="215">
      <c r="G215" t="str">
        <f>IFERROR(VLOOKUP(TRIM(E215), 'Expense Category Mapping'!A:B, 2, FALSE), "Misc")</f>
        <v>Misc</v>
      </c>
    </row>
    <row r="216">
      <c r="G216" t="str">
        <f>IFERROR(VLOOKUP(TRIM(E216), 'Expense Category Mapping'!A:B, 2, FALSE), "Misc")</f>
        <v>Misc</v>
      </c>
    </row>
    <row r="217">
      <c r="G217" t="str">
        <f>IFERROR(VLOOKUP(TRIM(E217), 'Expense Category Mapping'!A:B, 2, FALSE), "Misc")</f>
        <v>Misc</v>
      </c>
    </row>
    <row r="218">
      <c r="G218" t="str">
        <f>IFERROR(VLOOKUP(TRIM(E218), 'Expense Category Mapping'!A:B, 2, FALSE), "Misc")</f>
        <v>Misc</v>
      </c>
    </row>
    <row r="219">
      <c r="G219" t="str">
        <f>IFERROR(VLOOKUP(TRIM(E219), 'Expense Category Mapping'!A:B, 2, FALSE), "Misc")</f>
        <v>Misc</v>
      </c>
    </row>
    <row r="220">
      <c r="G220" t="str">
        <f>IFERROR(VLOOKUP(TRIM(E220), 'Expense Category Mapping'!A:B, 2, FALSE), "Misc")</f>
        <v>Misc</v>
      </c>
    </row>
    <row r="221">
      <c r="G221" t="str">
        <f>IFERROR(VLOOKUP(TRIM(E221), 'Expense Category Mapping'!A:B, 2, FALSE), "Misc")</f>
        <v>Misc</v>
      </c>
    </row>
    <row r="222">
      <c r="G222" t="str">
        <f>IFERROR(VLOOKUP(TRIM(E222), 'Expense Category Mapping'!A:B, 2, FALSE), "Misc")</f>
        <v>Misc</v>
      </c>
    </row>
    <row r="223">
      <c r="G223" t="str">
        <f>IFERROR(VLOOKUP(TRIM(E223), 'Expense Category Mapping'!A:B, 2, FALSE), "Misc")</f>
        <v>Misc</v>
      </c>
    </row>
    <row r="224">
      <c r="G224" t="str">
        <f>IFERROR(VLOOKUP(TRIM(E224), 'Expense Category Mapping'!A:B, 2, FALSE), "Misc")</f>
        <v>Misc</v>
      </c>
    </row>
    <row r="225">
      <c r="G225" t="str">
        <f>IFERROR(VLOOKUP(TRIM(E225), 'Expense Category Mapping'!A:B, 2, FALSE), "Misc")</f>
        <v>Misc</v>
      </c>
    </row>
    <row r="226">
      <c r="G226" t="str">
        <f>IFERROR(VLOOKUP(TRIM(E226), 'Expense Category Mapping'!A:B, 2, FALSE), "Misc")</f>
        <v>Misc</v>
      </c>
    </row>
    <row r="227">
      <c r="G227" t="str">
        <f>IFERROR(VLOOKUP(TRIM(E227), 'Expense Category Mapping'!A:B, 2, FALSE), "Misc")</f>
        <v>Misc</v>
      </c>
    </row>
    <row r="228">
      <c r="G228" t="str">
        <f>IFERROR(VLOOKUP(TRIM(E228), 'Expense Category Mapping'!A:B, 2, FALSE), "Misc")</f>
        <v>Misc</v>
      </c>
    </row>
    <row r="229">
      <c r="G229" t="str">
        <f>IFERROR(VLOOKUP(TRIM(E229), 'Expense Category Mapping'!A:B, 2, FALSE), "Misc")</f>
        <v>Misc</v>
      </c>
    </row>
    <row r="230">
      <c r="G230" t="str">
        <f>IFERROR(VLOOKUP(TRIM(E230), 'Expense Category Mapping'!A:B, 2, FALSE), "Misc")</f>
        <v>Misc</v>
      </c>
    </row>
    <row r="231">
      <c r="G231" t="str">
        <f>IFERROR(VLOOKUP(TRIM(E231), 'Expense Category Mapping'!A:B, 2, FALSE), "Misc")</f>
        <v>Misc</v>
      </c>
    </row>
    <row r="232">
      <c r="G232" t="str">
        <f>IFERROR(VLOOKUP(TRIM(E232), 'Expense Category Mapping'!A:B, 2, FALSE), "Misc")</f>
        <v>Misc</v>
      </c>
    </row>
    <row r="233">
      <c r="G233" t="str">
        <f>IFERROR(VLOOKUP(TRIM(E233), 'Expense Category Mapping'!A:B, 2, FALSE), "Misc")</f>
        <v>Misc</v>
      </c>
    </row>
    <row r="234">
      <c r="G234" t="str">
        <f>IFERROR(VLOOKUP(TRIM(E234), 'Expense Category Mapping'!A:B, 2, FALSE), "Misc")</f>
        <v>Misc</v>
      </c>
    </row>
    <row r="235">
      <c r="G235" t="str">
        <f>IFERROR(VLOOKUP(TRIM(E235), 'Expense Category Mapping'!A:B, 2, FALSE), "Misc")</f>
        <v>Misc</v>
      </c>
    </row>
    <row r="236">
      <c r="G236" t="str">
        <f>IFERROR(VLOOKUP(TRIM(E236), 'Expense Category Mapping'!A:B, 2, FALSE), "Misc")</f>
        <v>Misc</v>
      </c>
    </row>
    <row r="237">
      <c r="G237" t="str">
        <f>IFERROR(VLOOKUP(TRIM(E237), 'Expense Category Mapping'!A:B, 2, FALSE), "Misc")</f>
        <v>Misc</v>
      </c>
    </row>
    <row r="238">
      <c r="G238" t="str">
        <f>IFERROR(VLOOKUP(TRIM(E238), 'Expense Category Mapping'!A:B, 2, FALSE), "Misc")</f>
        <v>Misc</v>
      </c>
    </row>
    <row r="239">
      <c r="G239" t="str">
        <f>IFERROR(VLOOKUP(TRIM(E239), 'Expense Category Mapping'!A:B, 2, FALSE), "Misc")</f>
        <v>Misc</v>
      </c>
    </row>
    <row r="240">
      <c r="G240" t="str">
        <f>IFERROR(VLOOKUP(TRIM(E240), 'Expense Category Mapping'!A:B, 2, FALSE), "Misc")</f>
        <v>Misc</v>
      </c>
    </row>
    <row r="241">
      <c r="G241" t="str">
        <f>IFERROR(VLOOKUP(TRIM(E241), 'Expense Category Mapping'!A:B, 2, FALSE), "Misc")</f>
        <v>Misc</v>
      </c>
    </row>
    <row r="242">
      <c r="G242" t="str">
        <f>IFERROR(VLOOKUP(TRIM(E242), 'Expense Category Mapping'!A:B, 2, FALSE), "Misc")</f>
        <v>Misc</v>
      </c>
    </row>
    <row r="243">
      <c r="G243" t="str">
        <f>IFERROR(VLOOKUP(TRIM(E243), 'Expense Category Mapping'!A:B, 2, FALSE), "Misc")</f>
        <v>Misc</v>
      </c>
    </row>
    <row r="244">
      <c r="G244" t="str">
        <f>IFERROR(VLOOKUP(TRIM(E244), 'Expense Category Mapping'!A:B, 2, FALSE), "Misc")</f>
        <v>Misc</v>
      </c>
    </row>
    <row r="245">
      <c r="G245" t="str">
        <f>IFERROR(VLOOKUP(TRIM(E245), 'Expense Category Mapping'!A:B, 2, FALSE), "Misc")</f>
        <v>Misc</v>
      </c>
    </row>
    <row r="246">
      <c r="G246" t="str">
        <f>IFERROR(VLOOKUP(TRIM(E246), 'Expense Category Mapping'!A:B, 2, FALSE), "Misc")</f>
        <v>Misc</v>
      </c>
    </row>
    <row r="247">
      <c r="G247" t="str">
        <f>IFERROR(VLOOKUP(TRIM(E247), 'Expense Category Mapping'!A:B, 2, FALSE), "Misc")</f>
        <v>Misc</v>
      </c>
    </row>
    <row r="248">
      <c r="G248" t="str">
        <f>IFERROR(VLOOKUP(TRIM(E248), 'Expense Category Mapping'!A:B, 2, FALSE), "Misc")</f>
        <v>Misc</v>
      </c>
    </row>
    <row r="249">
      <c r="G249" t="str">
        <f>IFERROR(VLOOKUP(TRIM(E249), 'Expense Category Mapping'!A:B, 2, FALSE), "Misc")</f>
        <v>Misc</v>
      </c>
    </row>
    <row r="250">
      <c r="G250" t="str">
        <f>IFERROR(VLOOKUP(TRIM(E250), 'Expense Category Mapping'!A:B, 2, FALSE), "Misc")</f>
        <v>Misc</v>
      </c>
    </row>
    <row r="251">
      <c r="G251" t="str">
        <f>IFERROR(VLOOKUP(TRIM(E251), 'Expense Category Mapping'!A:B, 2, FALSE), "Misc")</f>
        <v>Misc</v>
      </c>
    </row>
    <row r="252">
      <c r="G252" t="str">
        <f>IFERROR(VLOOKUP(TRIM(E252), 'Expense Category Mapping'!A:B, 2, FALSE), "Misc")</f>
        <v>Misc</v>
      </c>
    </row>
    <row r="253">
      <c r="G253" t="str">
        <f>IFERROR(VLOOKUP(TRIM(E253), 'Expense Category Mapping'!A:B, 2, FALSE), "Misc")</f>
        <v>Misc</v>
      </c>
    </row>
    <row r="254">
      <c r="G254" t="str">
        <f>IFERROR(VLOOKUP(TRIM(E254), 'Expense Category Mapping'!A:B, 2, FALSE), "Misc")</f>
        <v>Misc</v>
      </c>
    </row>
    <row r="255">
      <c r="G255" t="str">
        <f>IFERROR(VLOOKUP(TRIM(E255), 'Expense Category Mapping'!A:B, 2, FALSE), "Misc")</f>
        <v>Misc</v>
      </c>
    </row>
    <row r="256">
      <c r="G256" t="str">
        <f>IFERROR(VLOOKUP(TRIM(E256), 'Expense Category Mapping'!A:B, 2, FALSE), "Misc")</f>
        <v>Misc</v>
      </c>
    </row>
    <row r="257">
      <c r="G257" t="str">
        <f>IFERROR(VLOOKUP(TRIM(E257), 'Expense Category Mapping'!A:B, 2, FALSE), "Misc")</f>
        <v>Misc</v>
      </c>
    </row>
    <row r="258">
      <c r="G258" t="str">
        <f>IFERROR(VLOOKUP(TRIM(E258), 'Expense Category Mapping'!A:B, 2, FALSE), "Misc")</f>
        <v>Misc</v>
      </c>
    </row>
    <row r="259">
      <c r="G259" t="str">
        <f>IFERROR(VLOOKUP(TRIM(E259), 'Expense Category Mapping'!A:B, 2, FALSE), "Misc")</f>
        <v>Misc</v>
      </c>
    </row>
    <row r="260">
      <c r="G260" t="str">
        <f>IFERROR(VLOOKUP(TRIM(E260), 'Expense Category Mapping'!A:B, 2, FALSE), "Misc")</f>
        <v>Misc</v>
      </c>
    </row>
    <row r="261">
      <c r="G261" t="str">
        <f>IFERROR(VLOOKUP(TRIM(E261), 'Expense Category Mapping'!A:B, 2, FALSE), "Misc")</f>
        <v>Misc</v>
      </c>
    </row>
    <row r="262">
      <c r="G262" t="str">
        <f>IFERROR(VLOOKUP(TRIM(E262), 'Expense Category Mapping'!A:B, 2, FALSE), "Misc")</f>
        <v>Misc</v>
      </c>
    </row>
    <row r="263">
      <c r="G263" t="str">
        <f>IFERROR(VLOOKUP(TRIM(E263), 'Expense Category Mapping'!A:B, 2, FALSE), "Misc")</f>
        <v>Misc</v>
      </c>
    </row>
    <row r="264">
      <c r="G264" t="str">
        <f>IFERROR(VLOOKUP(TRIM(E264), 'Expense Category Mapping'!A:B, 2, FALSE), "Misc")</f>
        <v>Misc</v>
      </c>
    </row>
    <row r="265">
      <c r="G265" t="str">
        <f>IFERROR(VLOOKUP(TRIM(E265), 'Expense Category Mapping'!A:B, 2, FALSE), "Misc")</f>
        <v>Misc</v>
      </c>
    </row>
    <row r="266">
      <c r="G266" t="str">
        <f>IFERROR(VLOOKUP(TRIM(E266), 'Expense Category Mapping'!A:B, 2, FALSE), "Misc")</f>
        <v>Misc</v>
      </c>
    </row>
    <row r="267">
      <c r="G267" t="str">
        <f>IFERROR(VLOOKUP(TRIM(E267), 'Expense Category Mapping'!A:B, 2, FALSE), "Misc")</f>
        <v>Misc</v>
      </c>
    </row>
    <row r="268">
      <c r="G268" t="str">
        <f>IFERROR(VLOOKUP(TRIM(E268), 'Expense Category Mapping'!A:B, 2, FALSE), "Misc")</f>
        <v>Misc</v>
      </c>
    </row>
    <row r="269">
      <c r="G269" t="str">
        <f>IFERROR(VLOOKUP(TRIM(E269), 'Expense Category Mapping'!A:B, 2, FALSE), "Misc")</f>
        <v>Misc</v>
      </c>
    </row>
    <row r="270">
      <c r="G270" t="str">
        <f>IFERROR(VLOOKUP(TRIM(E270), 'Expense Category Mapping'!A:B, 2, FALSE), "Misc")</f>
        <v>Misc</v>
      </c>
    </row>
    <row r="271">
      <c r="G271" t="str">
        <f>IFERROR(VLOOKUP(TRIM(E271), 'Expense Category Mapping'!A:B, 2, FALSE), "Misc")</f>
        <v>Misc</v>
      </c>
    </row>
    <row r="272">
      <c r="G272" t="str">
        <f>IFERROR(VLOOKUP(TRIM(E272), 'Expense Category Mapping'!A:B, 2, FALSE), "Misc")</f>
        <v>Misc</v>
      </c>
    </row>
    <row r="273">
      <c r="G273" t="str">
        <f>IFERROR(VLOOKUP(TRIM(E273), 'Expense Category Mapping'!A:B, 2, FALSE), "Misc")</f>
        <v>Misc</v>
      </c>
    </row>
    <row r="274">
      <c r="G274" t="str">
        <f>IFERROR(VLOOKUP(TRIM(E274), 'Expense Category Mapping'!A:B, 2, FALSE), "Misc")</f>
        <v>Misc</v>
      </c>
    </row>
    <row r="275">
      <c r="G275" t="str">
        <f>IFERROR(VLOOKUP(TRIM(E275), 'Expense Category Mapping'!A:B, 2, FALSE), "Misc")</f>
        <v>Misc</v>
      </c>
    </row>
    <row r="276">
      <c r="G276" t="str">
        <f>IFERROR(VLOOKUP(TRIM(E276), 'Expense Category Mapping'!A:B, 2, FALSE), "Misc")</f>
        <v>Misc</v>
      </c>
    </row>
    <row r="277">
      <c r="G277" t="str">
        <f>IFERROR(VLOOKUP(TRIM(E277), 'Expense Category Mapping'!A:B, 2, FALSE), "Misc")</f>
        <v>Misc</v>
      </c>
    </row>
    <row r="278">
      <c r="G278" t="str">
        <f>IFERROR(VLOOKUP(TRIM(E278), 'Expense Category Mapping'!A:B, 2, FALSE), "Misc")</f>
        <v>Misc</v>
      </c>
    </row>
    <row r="279">
      <c r="G279" t="str">
        <f>IFERROR(VLOOKUP(TRIM(E279), 'Expense Category Mapping'!A:B, 2, FALSE), "Misc")</f>
        <v>Misc</v>
      </c>
    </row>
    <row r="280">
      <c r="G280" t="str">
        <f>IFERROR(VLOOKUP(TRIM(E280), 'Expense Category Mapping'!A:B, 2, FALSE), "Misc")</f>
        <v>Misc</v>
      </c>
    </row>
    <row r="281">
      <c r="G281" t="str">
        <f>IFERROR(VLOOKUP(TRIM(E281), 'Expense Category Mapping'!A:B, 2, FALSE), "Misc")</f>
        <v>Misc</v>
      </c>
    </row>
    <row r="282">
      <c r="G282" t="str">
        <f>IFERROR(VLOOKUP(TRIM(E282), 'Expense Category Mapping'!A:B, 2, FALSE), "Misc")</f>
        <v>Misc</v>
      </c>
    </row>
    <row r="283">
      <c r="G283" t="str">
        <f>IFERROR(VLOOKUP(TRIM(E283), 'Expense Category Mapping'!A:B, 2, FALSE), "Misc")</f>
        <v>Misc</v>
      </c>
    </row>
    <row r="284">
      <c r="G284" t="str">
        <f>IFERROR(VLOOKUP(TRIM(E284), 'Expense Category Mapping'!A:B, 2, FALSE), "Misc")</f>
        <v>Misc</v>
      </c>
    </row>
    <row r="285">
      <c r="G285" t="str">
        <f>IFERROR(VLOOKUP(TRIM(E285), 'Expense Category Mapping'!A:B, 2, FALSE), "Misc")</f>
        <v>Misc</v>
      </c>
    </row>
    <row r="286">
      <c r="G286" t="str">
        <f>IFERROR(VLOOKUP(TRIM(E286), 'Expense Category Mapping'!A:B, 2, FALSE), "Misc")</f>
        <v>Misc</v>
      </c>
    </row>
    <row r="287">
      <c r="G287" t="str">
        <f>IFERROR(VLOOKUP(TRIM(E287), 'Expense Category Mapping'!A:B, 2, FALSE), "Misc")</f>
        <v>Misc</v>
      </c>
    </row>
    <row r="288">
      <c r="G288" t="str">
        <f>IFERROR(VLOOKUP(TRIM(E288), 'Expense Category Mapping'!A:B, 2, FALSE), "Misc")</f>
        <v>Misc</v>
      </c>
    </row>
    <row r="289">
      <c r="G289" t="str">
        <f>IFERROR(VLOOKUP(TRIM(E289), 'Expense Category Mapping'!A:B, 2, FALSE), "Misc")</f>
        <v>Misc</v>
      </c>
    </row>
    <row r="290">
      <c r="G290" t="str">
        <f>IFERROR(VLOOKUP(TRIM(E290), 'Expense Category Mapping'!A:B, 2, FALSE), "Misc")</f>
        <v>Misc</v>
      </c>
    </row>
    <row r="291">
      <c r="G291" t="str">
        <f>IFERROR(VLOOKUP(TRIM(E291), 'Expense Category Mapping'!A:B, 2, FALSE), "Misc")</f>
        <v>Misc</v>
      </c>
    </row>
    <row r="292">
      <c r="G292" t="str">
        <f>IFERROR(VLOOKUP(TRIM(E292), 'Expense Category Mapping'!A:B, 2, FALSE), "Misc")</f>
        <v>Misc</v>
      </c>
    </row>
    <row r="293">
      <c r="G293" t="str">
        <f>IFERROR(VLOOKUP(TRIM(E293), 'Expense Category Mapping'!A:B, 2, FALSE), "Misc")</f>
        <v>Misc</v>
      </c>
    </row>
    <row r="294">
      <c r="G294" t="str">
        <f>IFERROR(VLOOKUP(TRIM(E294), 'Expense Category Mapping'!A:B, 2, FALSE), "Misc")</f>
        <v>Misc</v>
      </c>
    </row>
    <row r="295">
      <c r="G295" t="str">
        <f>IFERROR(VLOOKUP(TRIM(E295), 'Expense Category Mapping'!A:B, 2, FALSE), "Misc")</f>
        <v>Misc</v>
      </c>
    </row>
    <row r="296">
      <c r="G296" t="str">
        <f>IFERROR(VLOOKUP(TRIM(E296), 'Expense Category Mapping'!A:B, 2, FALSE), "Misc")</f>
        <v>Misc</v>
      </c>
    </row>
    <row r="297">
      <c r="G297" t="str">
        <f>IFERROR(VLOOKUP(TRIM(E297), 'Expense Category Mapping'!A:B, 2, FALSE), "Misc")</f>
        <v>Misc</v>
      </c>
    </row>
    <row r="298">
      <c r="G298" t="str">
        <f>IFERROR(VLOOKUP(TRIM(E298), 'Expense Category Mapping'!A:B, 2, FALSE), "Misc")</f>
        <v>Misc</v>
      </c>
    </row>
    <row r="299">
      <c r="G299" t="str">
        <f>IFERROR(VLOOKUP(TRIM(E299), 'Expense Category Mapping'!A:B, 2, FALSE), "Misc")</f>
        <v>Misc</v>
      </c>
    </row>
    <row r="300">
      <c r="G300" t="str">
        <f>IFERROR(VLOOKUP(TRIM(E300), 'Expense Category Mapping'!A:B, 2, FALSE), "Misc")</f>
        <v>Misc</v>
      </c>
    </row>
    <row r="301">
      <c r="G301" t="str">
        <f>IFERROR(VLOOKUP(TRIM(E301), 'Expense Category Mapping'!A:B, 2, FALSE), "Misc")</f>
        <v>Misc</v>
      </c>
    </row>
    <row r="302">
      <c r="G302" t="str">
        <f>IFERROR(VLOOKUP(TRIM(E302), 'Expense Category Mapping'!A:B, 2, FALSE), "Misc")</f>
        <v>Misc</v>
      </c>
    </row>
    <row r="303">
      <c r="G303" t="str">
        <f>IFERROR(VLOOKUP(TRIM(E303), 'Expense Category Mapping'!A:B, 2, FALSE), "Misc")</f>
        <v>Misc</v>
      </c>
    </row>
    <row r="304">
      <c r="G304" t="str">
        <f>IFERROR(VLOOKUP(TRIM(E304), 'Expense Category Mapping'!A:B, 2, FALSE), "Misc")</f>
        <v>Misc</v>
      </c>
    </row>
    <row r="305">
      <c r="G305" t="str">
        <f>IFERROR(VLOOKUP(TRIM(E305), 'Expense Category Mapping'!A:B, 2, FALSE), "Misc")</f>
        <v>Misc</v>
      </c>
    </row>
    <row r="306">
      <c r="G306" t="str">
        <f>IFERROR(VLOOKUP(TRIM(E306), 'Expense Category Mapping'!A:B, 2, FALSE), "Misc")</f>
        <v>Misc</v>
      </c>
    </row>
    <row r="307">
      <c r="G307" t="str">
        <f>IFERROR(VLOOKUP(TRIM(E307), 'Expense Category Mapping'!A:B, 2, FALSE), "Misc")</f>
        <v>Misc</v>
      </c>
    </row>
    <row r="308">
      <c r="G308" t="str">
        <f>IFERROR(VLOOKUP(TRIM(E308), 'Expense Category Mapping'!A:B, 2, FALSE), "Misc")</f>
        <v>Misc</v>
      </c>
    </row>
    <row r="309">
      <c r="G309" t="str">
        <f>IFERROR(VLOOKUP(TRIM(E309), 'Expense Category Mapping'!A:B, 2, FALSE), "Misc")</f>
        <v>Misc</v>
      </c>
    </row>
    <row r="310">
      <c r="G310" t="str">
        <f>IFERROR(VLOOKUP(TRIM(E310), 'Expense Category Mapping'!A:B, 2, FALSE), "Misc")</f>
        <v>Misc</v>
      </c>
    </row>
    <row r="311">
      <c r="G311" t="str">
        <f>IFERROR(VLOOKUP(TRIM(E311), 'Expense Category Mapping'!A:B, 2, FALSE), "Misc")</f>
        <v>Misc</v>
      </c>
    </row>
    <row r="312">
      <c r="G312" t="str">
        <f>IFERROR(VLOOKUP(TRIM(E312), 'Expense Category Mapping'!A:B, 2, FALSE), "Misc")</f>
        <v>Misc</v>
      </c>
    </row>
    <row r="313">
      <c r="G313" t="str">
        <f>IFERROR(VLOOKUP(TRIM(E313), 'Expense Category Mapping'!A:B, 2, FALSE), "Misc")</f>
        <v>Misc</v>
      </c>
    </row>
    <row r="314">
      <c r="G314" t="str">
        <f>IFERROR(VLOOKUP(TRIM(E314), 'Expense Category Mapping'!A:B, 2, FALSE), "Misc")</f>
        <v>Misc</v>
      </c>
    </row>
    <row r="315">
      <c r="G315" t="str">
        <f>IFERROR(VLOOKUP(TRIM(E315), 'Expense Category Mapping'!A:B, 2, FALSE), "Misc")</f>
        <v>Misc</v>
      </c>
    </row>
    <row r="316">
      <c r="G316" t="str">
        <f>IFERROR(VLOOKUP(TRIM(E316), 'Expense Category Mapping'!A:B, 2, FALSE), "Misc")</f>
        <v>Misc</v>
      </c>
    </row>
    <row r="317">
      <c r="G317" t="str">
        <f>IFERROR(VLOOKUP(TRIM(E317), 'Expense Category Mapping'!A:B, 2, FALSE), "Misc")</f>
        <v>Misc</v>
      </c>
    </row>
    <row r="318">
      <c r="G318" t="str">
        <f>IFERROR(VLOOKUP(TRIM(E318), 'Expense Category Mapping'!A:B, 2, FALSE), "Misc")</f>
        <v>Misc</v>
      </c>
    </row>
    <row r="319">
      <c r="G319" t="str">
        <f>IFERROR(VLOOKUP(TRIM(E319), 'Expense Category Mapping'!A:B, 2, FALSE), "Misc")</f>
        <v>Misc</v>
      </c>
    </row>
    <row r="320">
      <c r="G320" t="str">
        <f>IFERROR(VLOOKUP(TRIM(E320), 'Expense Category Mapping'!A:B, 2, FALSE), "Misc")</f>
        <v>Misc</v>
      </c>
    </row>
    <row r="321">
      <c r="G321" t="str">
        <f>IFERROR(VLOOKUP(TRIM(E321), 'Expense Category Mapping'!A:B, 2, FALSE), "Misc")</f>
        <v>Misc</v>
      </c>
    </row>
    <row r="322">
      <c r="G322" t="str">
        <f>IFERROR(VLOOKUP(TRIM(E322), 'Expense Category Mapping'!A:B, 2, FALSE), "Misc")</f>
        <v>Misc</v>
      </c>
    </row>
    <row r="323">
      <c r="G323" t="str">
        <f>IFERROR(VLOOKUP(TRIM(E323), 'Expense Category Mapping'!A:B, 2, FALSE), "Misc")</f>
        <v>Misc</v>
      </c>
    </row>
    <row r="324">
      <c r="G324" t="str">
        <f>IFERROR(VLOOKUP(TRIM(E324), 'Expense Category Mapping'!A:B, 2, FALSE), "Misc")</f>
        <v>Misc</v>
      </c>
    </row>
    <row r="325">
      <c r="G325" t="str">
        <f>IFERROR(VLOOKUP(TRIM(E325), 'Expense Category Mapping'!A:B, 2, FALSE), "Misc")</f>
        <v>Misc</v>
      </c>
    </row>
    <row r="326">
      <c r="G326" t="str">
        <f>IFERROR(VLOOKUP(TRIM(E326), 'Expense Category Mapping'!A:B, 2, FALSE), "Misc")</f>
        <v>Misc</v>
      </c>
    </row>
    <row r="327">
      <c r="G327" t="str">
        <f>IFERROR(VLOOKUP(TRIM(E327), 'Expense Category Mapping'!A:B, 2, FALSE), "Misc")</f>
        <v>Misc</v>
      </c>
    </row>
    <row r="328">
      <c r="G328" t="str">
        <f>IFERROR(VLOOKUP(TRIM(E328), 'Expense Category Mapping'!A:B, 2, FALSE), "Misc")</f>
        <v>Misc</v>
      </c>
    </row>
    <row r="329">
      <c r="G329" t="str">
        <f>IFERROR(VLOOKUP(TRIM(E329), 'Expense Category Mapping'!A:B, 2, FALSE), "Misc")</f>
        <v>Misc</v>
      </c>
    </row>
    <row r="330">
      <c r="G330" t="str">
        <f>IFERROR(VLOOKUP(TRIM(E330), 'Expense Category Mapping'!A:B, 2, FALSE), "Misc")</f>
        <v>Misc</v>
      </c>
    </row>
    <row r="331">
      <c r="G331" t="str">
        <f>IFERROR(VLOOKUP(TRIM(E331), 'Expense Category Mapping'!A:B, 2, FALSE), "Misc")</f>
        <v>Misc</v>
      </c>
    </row>
    <row r="332">
      <c r="G332" t="str">
        <f>IFERROR(VLOOKUP(TRIM(E332), 'Expense Category Mapping'!A:B, 2, FALSE), "Misc")</f>
        <v>Misc</v>
      </c>
    </row>
    <row r="333">
      <c r="G333" t="str">
        <f>IFERROR(VLOOKUP(TRIM(E333), 'Expense Category Mapping'!A:B, 2, FALSE), "Misc")</f>
        <v>Misc</v>
      </c>
    </row>
    <row r="334">
      <c r="G334" t="str">
        <f>IFERROR(VLOOKUP(TRIM(E334), 'Expense Category Mapping'!A:B, 2, FALSE), "Misc")</f>
        <v>Misc</v>
      </c>
    </row>
    <row r="335">
      <c r="G335" t="str">
        <f>IFERROR(VLOOKUP(TRIM(E335), 'Expense Category Mapping'!A:B, 2, FALSE), "Misc")</f>
        <v>Misc</v>
      </c>
    </row>
    <row r="336">
      <c r="G336" t="str">
        <f>IFERROR(VLOOKUP(TRIM(E336), 'Expense Category Mapping'!A:B, 2, FALSE), "Misc")</f>
        <v>Misc</v>
      </c>
    </row>
    <row r="337">
      <c r="G337" t="str">
        <f>IFERROR(VLOOKUP(TRIM(E337), 'Expense Category Mapping'!A:B, 2, FALSE), "Misc")</f>
        <v>Misc</v>
      </c>
    </row>
    <row r="338">
      <c r="G338" t="str">
        <f>IFERROR(VLOOKUP(TRIM(E338), 'Expense Category Mapping'!A:B, 2, FALSE), "Misc")</f>
        <v>Misc</v>
      </c>
    </row>
    <row r="339">
      <c r="G339" t="str">
        <f>IFERROR(VLOOKUP(TRIM(E339), 'Expense Category Mapping'!A:B, 2, FALSE), "Misc")</f>
        <v>Misc</v>
      </c>
    </row>
    <row r="340">
      <c r="G340" t="str">
        <f>IFERROR(VLOOKUP(TRIM(E340), 'Expense Category Mapping'!A:B, 2, FALSE), "Misc")</f>
        <v>Misc</v>
      </c>
    </row>
    <row r="341">
      <c r="G341" t="str">
        <f>IFERROR(VLOOKUP(TRIM(E341), 'Expense Category Mapping'!A:B, 2, FALSE), "Misc")</f>
        <v>Misc</v>
      </c>
    </row>
    <row r="342">
      <c r="G342" t="str">
        <f>IFERROR(VLOOKUP(TRIM(E342), 'Expense Category Mapping'!A:B, 2, FALSE), "Misc")</f>
        <v>Misc</v>
      </c>
    </row>
    <row r="343">
      <c r="G343" t="str">
        <f>IFERROR(VLOOKUP(TRIM(E343), 'Expense Category Mapping'!A:B, 2, FALSE), "Misc")</f>
        <v>Misc</v>
      </c>
    </row>
    <row r="344">
      <c r="G344" t="str">
        <f>IFERROR(VLOOKUP(TRIM(E344), 'Expense Category Mapping'!A:B, 2, FALSE), "Misc")</f>
        <v>Misc</v>
      </c>
    </row>
    <row r="345">
      <c r="G345" t="str">
        <f>IFERROR(VLOOKUP(TRIM(E345), 'Expense Category Mapping'!A:B, 2, FALSE), "Misc")</f>
        <v>Misc</v>
      </c>
    </row>
    <row r="346">
      <c r="G346" t="str">
        <f>IFERROR(VLOOKUP(TRIM(E346), 'Expense Category Mapping'!A:B, 2, FALSE), "Misc")</f>
        <v>Misc</v>
      </c>
    </row>
    <row r="347">
      <c r="G347" t="str">
        <f>IFERROR(VLOOKUP(TRIM(E347), 'Expense Category Mapping'!A:B, 2, FALSE), "Misc")</f>
        <v>Misc</v>
      </c>
    </row>
    <row r="348">
      <c r="G348" t="str">
        <f>IFERROR(VLOOKUP(TRIM(E348), 'Expense Category Mapping'!A:B, 2, FALSE), "Misc")</f>
        <v>Misc</v>
      </c>
    </row>
    <row r="349">
      <c r="G349" t="str">
        <f>IFERROR(VLOOKUP(TRIM(E349), 'Expense Category Mapping'!A:B, 2, FALSE), "Misc")</f>
        <v>Misc</v>
      </c>
    </row>
    <row r="350">
      <c r="G350" t="str">
        <f>IFERROR(VLOOKUP(TRIM(E350), 'Expense Category Mapping'!A:B, 2, FALSE), "Misc")</f>
        <v>Misc</v>
      </c>
    </row>
    <row r="351">
      <c r="G351" t="str">
        <f>IFERROR(VLOOKUP(TRIM(E351), 'Expense Category Mapping'!A:B, 2, FALSE), "Misc")</f>
        <v>Misc</v>
      </c>
    </row>
    <row r="352">
      <c r="G352" t="str">
        <f>IFERROR(VLOOKUP(TRIM(E352), 'Expense Category Mapping'!A:B, 2, FALSE), "Misc")</f>
        <v>Misc</v>
      </c>
    </row>
    <row r="353">
      <c r="G353" t="str">
        <f>IFERROR(VLOOKUP(TRIM(E353), 'Expense Category Mapping'!A:B, 2, FALSE), "Misc")</f>
        <v>Misc</v>
      </c>
    </row>
    <row r="354">
      <c r="G354" t="str">
        <f>IFERROR(VLOOKUP(TRIM(E354), 'Expense Category Mapping'!A:B, 2, FALSE), "Misc")</f>
        <v>Misc</v>
      </c>
    </row>
    <row r="355">
      <c r="G355" t="str">
        <f>IFERROR(VLOOKUP(TRIM(E355), 'Expense Category Mapping'!A:B, 2, FALSE), "Misc")</f>
        <v>Misc</v>
      </c>
    </row>
    <row r="356">
      <c r="G356" t="str">
        <f>IFERROR(VLOOKUP(TRIM(E356), 'Expense Category Mapping'!A:B, 2, FALSE), "Misc")</f>
        <v>Misc</v>
      </c>
    </row>
    <row r="357">
      <c r="G357" t="str">
        <f>IFERROR(VLOOKUP(TRIM(E357), 'Expense Category Mapping'!A:B, 2, FALSE), "Misc")</f>
        <v>Misc</v>
      </c>
    </row>
    <row r="358">
      <c r="G358" t="str">
        <f>IFERROR(VLOOKUP(TRIM(E358), 'Expense Category Mapping'!A:B, 2, FALSE), "Misc")</f>
        <v>Misc</v>
      </c>
    </row>
    <row r="359">
      <c r="G359" t="str">
        <f>IFERROR(VLOOKUP(TRIM(E359), 'Expense Category Mapping'!A:B, 2, FALSE), "Misc")</f>
        <v>Misc</v>
      </c>
    </row>
    <row r="360">
      <c r="G360" t="str">
        <f>IFERROR(VLOOKUP(TRIM(E360), 'Expense Category Mapping'!A:B, 2, FALSE), "Misc")</f>
        <v>Misc</v>
      </c>
    </row>
    <row r="361">
      <c r="G361" t="str">
        <f>IFERROR(VLOOKUP(TRIM(E361), 'Expense Category Mapping'!A:B, 2, FALSE), "Misc")</f>
        <v>Misc</v>
      </c>
    </row>
    <row r="362">
      <c r="G362" t="str">
        <f>IFERROR(VLOOKUP(TRIM(E362), 'Expense Category Mapping'!A:B, 2, FALSE), "Misc")</f>
        <v>Misc</v>
      </c>
    </row>
    <row r="363">
      <c r="G363" t="str">
        <f>IFERROR(VLOOKUP(TRIM(E363), 'Expense Category Mapping'!A:B, 2, FALSE), "Misc")</f>
        <v>Misc</v>
      </c>
    </row>
    <row r="364">
      <c r="G364" t="str">
        <f>IFERROR(VLOOKUP(TRIM(E364), 'Expense Category Mapping'!A:B, 2, FALSE), "Misc")</f>
        <v>Misc</v>
      </c>
    </row>
    <row r="365">
      <c r="G365" t="str">
        <f>IFERROR(VLOOKUP(TRIM(E365), 'Expense Category Mapping'!A:B, 2, FALSE), "Misc")</f>
        <v>Misc</v>
      </c>
    </row>
    <row r="366">
      <c r="G366" t="str">
        <f>IFERROR(VLOOKUP(TRIM(E366), 'Expense Category Mapping'!A:B, 2, FALSE), "Misc")</f>
        <v>Misc</v>
      </c>
    </row>
    <row r="367">
      <c r="G367" t="str">
        <f>IFERROR(VLOOKUP(TRIM(E367), 'Expense Category Mapping'!A:B, 2, FALSE), "Misc")</f>
        <v>Misc</v>
      </c>
    </row>
    <row r="368">
      <c r="G368" t="str">
        <f>IFERROR(VLOOKUP(TRIM(E368), 'Expense Category Mapping'!A:B, 2, FALSE), "Misc")</f>
        <v>Misc</v>
      </c>
    </row>
    <row r="369">
      <c r="G369" t="str">
        <f>IFERROR(VLOOKUP(TRIM(E369), 'Expense Category Mapping'!A:B, 2, FALSE), "Misc")</f>
        <v>Misc</v>
      </c>
    </row>
    <row r="370">
      <c r="G370" t="str">
        <f>IFERROR(VLOOKUP(TRIM(E370), 'Expense Category Mapping'!A:B, 2, FALSE), "Misc")</f>
        <v>Misc</v>
      </c>
    </row>
    <row r="371">
      <c r="G371" t="str">
        <f>IFERROR(VLOOKUP(TRIM(E371), 'Expense Category Mapping'!A:B, 2, FALSE), "Misc")</f>
        <v>Misc</v>
      </c>
    </row>
    <row r="372">
      <c r="G372" t="str">
        <f>IFERROR(VLOOKUP(TRIM(E372), 'Expense Category Mapping'!A:B, 2, FALSE), "Misc")</f>
        <v>Misc</v>
      </c>
    </row>
    <row r="373">
      <c r="G373" t="str">
        <f>IFERROR(VLOOKUP(TRIM(E373), 'Expense Category Mapping'!A:B, 2, FALSE), "Misc")</f>
        <v>Misc</v>
      </c>
    </row>
    <row r="374">
      <c r="G374" t="str">
        <f>IFERROR(VLOOKUP(TRIM(E374), 'Expense Category Mapping'!A:B, 2, FALSE), "Misc")</f>
        <v>Misc</v>
      </c>
    </row>
    <row r="375">
      <c r="G375" t="str">
        <f>IFERROR(VLOOKUP(TRIM(E375), 'Expense Category Mapping'!A:B, 2, FALSE), "Misc")</f>
        <v>Misc</v>
      </c>
    </row>
    <row r="376">
      <c r="G376" t="str">
        <f>IFERROR(VLOOKUP(TRIM(E376), 'Expense Category Mapping'!A:B, 2, FALSE), "Misc")</f>
        <v>Misc</v>
      </c>
    </row>
    <row r="377">
      <c r="G377" t="str">
        <f>IFERROR(VLOOKUP(TRIM(E377), 'Expense Category Mapping'!A:B, 2, FALSE), "Misc")</f>
        <v>Misc</v>
      </c>
    </row>
    <row r="378">
      <c r="G378" t="str">
        <f>IFERROR(VLOOKUP(TRIM(E378), 'Expense Category Mapping'!A:B, 2, FALSE), "Misc")</f>
        <v>Misc</v>
      </c>
    </row>
    <row r="379">
      <c r="G379" t="str">
        <f>IFERROR(VLOOKUP(TRIM(E379), 'Expense Category Mapping'!A:B, 2, FALSE), "Misc")</f>
        <v>Misc</v>
      </c>
    </row>
    <row r="380">
      <c r="G380" t="str">
        <f>IFERROR(VLOOKUP(TRIM(E380), 'Expense Category Mapping'!A:B, 2, FALSE), "Misc")</f>
        <v>Misc</v>
      </c>
    </row>
    <row r="381">
      <c r="G381" t="str">
        <f>IFERROR(VLOOKUP(TRIM(E381), 'Expense Category Mapping'!A:B, 2, FALSE), "Misc")</f>
        <v>Misc</v>
      </c>
    </row>
    <row r="382">
      <c r="G382" t="str">
        <f>IFERROR(VLOOKUP(TRIM(E382), 'Expense Category Mapping'!A:B, 2, FALSE), "Misc")</f>
        <v>Misc</v>
      </c>
    </row>
    <row r="383">
      <c r="G383" t="str">
        <f>IFERROR(VLOOKUP(TRIM(E383), 'Expense Category Mapping'!A:B, 2, FALSE), "Misc")</f>
        <v>Misc</v>
      </c>
    </row>
    <row r="384">
      <c r="G384" t="str">
        <f>IFERROR(VLOOKUP(TRIM(E384), 'Expense Category Mapping'!A:B, 2, FALSE), "Misc")</f>
        <v>Misc</v>
      </c>
    </row>
    <row r="385">
      <c r="G385" t="str">
        <f>IFERROR(VLOOKUP(TRIM(E385), 'Expense Category Mapping'!A:B, 2, FALSE), "Misc")</f>
        <v>Misc</v>
      </c>
    </row>
    <row r="386">
      <c r="G386" t="str">
        <f>IFERROR(VLOOKUP(TRIM(E386), 'Expense Category Mapping'!A:B, 2, FALSE), "Misc")</f>
        <v>Misc</v>
      </c>
    </row>
    <row r="387">
      <c r="G387" t="str">
        <f>IFERROR(VLOOKUP(TRIM(E387), 'Expense Category Mapping'!A:B, 2, FALSE), "Misc")</f>
        <v>Misc</v>
      </c>
    </row>
    <row r="388">
      <c r="G388" t="str">
        <f>IFERROR(VLOOKUP(TRIM(E388), 'Expense Category Mapping'!A:B, 2, FALSE), "Misc")</f>
        <v>Misc</v>
      </c>
    </row>
    <row r="389">
      <c r="G389" t="str">
        <f>IFERROR(VLOOKUP(TRIM(E389), 'Expense Category Mapping'!A:B, 2, FALSE), "Misc")</f>
        <v>Misc</v>
      </c>
    </row>
    <row r="390">
      <c r="G390" t="str">
        <f>IFERROR(VLOOKUP(TRIM(E390), 'Expense Category Mapping'!A:B, 2, FALSE), "Misc")</f>
        <v>Misc</v>
      </c>
    </row>
    <row r="391">
      <c r="G391" t="str">
        <f>IFERROR(VLOOKUP(TRIM(E391), 'Expense Category Mapping'!A:B, 2, FALSE), "Misc")</f>
        <v>Misc</v>
      </c>
    </row>
    <row r="392">
      <c r="G392" t="str">
        <f>IFERROR(VLOOKUP(TRIM(E392), 'Expense Category Mapping'!A:B, 2, FALSE), "Misc")</f>
        <v>Misc</v>
      </c>
    </row>
    <row r="393">
      <c r="G393" t="str">
        <f>IFERROR(VLOOKUP(TRIM(E393), 'Expense Category Mapping'!A:B, 2, FALSE), "Misc")</f>
        <v>Misc</v>
      </c>
    </row>
    <row r="394">
      <c r="G394" t="str">
        <f>IFERROR(VLOOKUP(TRIM(E394), 'Expense Category Mapping'!A:B, 2, FALSE), "Misc")</f>
        <v>Misc</v>
      </c>
    </row>
    <row r="395">
      <c r="G395" t="str">
        <f>IFERROR(VLOOKUP(TRIM(E395), 'Expense Category Mapping'!A:B, 2, FALSE), "Misc")</f>
        <v>Misc</v>
      </c>
    </row>
    <row r="396">
      <c r="G396" t="str">
        <f>IFERROR(VLOOKUP(TRIM(E396), 'Expense Category Mapping'!A:B, 2, FALSE), "Misc")</f>
        <v>Misc</v>
      </c>
    </row>
    <row r="397">
      <c r="G397" t="str">
        <f>IFERROR(VLOOKUP(TRIM(E397), 'Expense Category Mapping'!A:B, 2, FALSE), "Misc")</f>
        <v>Misc</v>
      </c>
    </row>
    <row r="398">
      <c r="G398" t="str">
        <f>IFERROR(VLOOKUP(TRIM(E398), 'Expense Category Mapping'!A:B, 2, FALSE), "Misc")</f>
        <v>Misc</v>
      </c>
    </row>
    <row r="399">
      <c r="G399" t="str">
        <f>IFERROR(VLOOKUP(TRIM(E399), 'Expense Category Mapping'!A:B, 2, FALSE), "Misc")</f>
        <v>Misc</v>
      </c>
    </row>
    <row r="400">
      <c r="G400" t="str">
        <f>IFERROR(VLOOKUP(TRIM(E400), 'Expense Category Mapping'!A:B, 2, FALSE), "Misc")</f>
        <v>Misc</v>
      </c>
    </row>
    <row r="401">
      <c r="G401" t="str">
        <f>IFERROR(VLOOKUP(TRIM(E401), 'Expense Category Mapping'!A:B, 2, FALSE), "Misc")</f>
        <v>Misc</v>
      </c>
    </row>
    <row r="402">
      <c r="G402" t="str">
        <f>IFERROR(VLOOKUP(TRIM(E402), 'Expense Category Mapping'!A:B, 2, FALSE), "Misc")</f>
        <v>Misc</v>
      </c>
    </row>
    <row r="403">
      <c r="G403" t="str">
        <f>IFERROR(VLOOKUP(TRIM(E403), 'Expense Category Mapping'!A:B, 2, FALSE), "Misc")</f>
        <v>Misc</v>
      </c>
    </row>
    <row r="404">
      <c r="G404" t="str">
        <f>IFERROR(VLOOKUP(TRIM(E404), 'Expense Category Mapping'!A:B, 2, FALSE), "Misc")</f>
        <v>Misc</v>
      </c>
    </row>
    <row r="405">
      <c r="G405" t="str">
        <f>IFERROR(VLOOKUP(TRIM(E405), 'Expense Category Mapping'!A:B, 2, FALSE), "Misc")</f>
        <v>Misc</v>
      </c>
    </row>
    <row r="406">
      <c r="G406" t="str">
        <f>IFERROR(VLOOKUP(TRIM(E406), 'Expense Category Mapping'!A:B, 2, FALSE), "Misc")</f>
        <v>Misc</v>
      </c>
    </row>
    <row r="407">
      <c r="G407" t="str">
        <f>IFERROR(VLOOKUP(TRIM(E407), 'Expense Category Mapping'!A:B, 2, FALSE), "Misc")</f>
        <v>Misc</v>
      </c>
    </row>
    <row r="408">
      <c r="G408" t="str">
        <f>IFERROR(VLOOKUP(TRIM(E408), 'Expense Category Mapping'!A:B, 2, FALSE), "Misc")</f>
        <v>Misc</v>
      </c>
    </row>
    <row r="409">
      <c r="G409" t="str">
        <f>IFERROR(VLOOKUP(TRIM(E409), 'Expense Category Mapping'!A:B, 2, FALSE), "Misc")</f>
        <v>Misc</v>
      </c>
    </row>
    <row r="410">
      <c r="G410" t="str">
        <f>IFERROR(VLOOKUP(TRIM(E410), 'Expense Category Mapping'!A:B, 2, FALSE), "Misc")</f>
        <v>Misc</v>
      </c>
    </row>
    <row r="411">
      <c r="G411" t="str">
        <f>IFERROR(VLOOKUP(TRIM(E411), 'Expense Category Mapping'!A:B, 2, FALSE), "Misc")</f>
        <v>Misc</v>
      </c>
    </row>
    <row r="412">
      <c r="G412" t="str">
        <f>IFERROR(VLOOKUP(TRIM(E412), 'Expense Category Mapping'!A:B, 2, FALSE), "Misc")</f>
        <v>Misc</v>
      </c>
    </row>
    <row r="413">
      <c r="G413" t="str">
        <f>IFERROR(VLOOKUP(TRIM(E413), 'Expense Category Mapping'!A:B, 2, FALSE), "Misc")</f>
        <v>Misc</v>
      </c>
    </row>
    <row r="414">
      <c r="G414" t="str">
        <f>IFERROR(VLOOKUP(TRIM(E414), 'Expense Category Mapping'!A:B, 2, FALSE), "Misc")</f>
        <v>Misc</v>
      </c>
    </row>
    <row r="415">
      <c r="G415" t="str">
        <f>IFERROR(VLOOKUP(TRIM(E415), 'Expense Category Mapping'!A:B, 2, FALSE), "Misc")</f>
        <v>Misc</v>
      </c>
    </row>
    <row r="416">
      <c r="G416" t="str">
        <f>IFERROR(VLOOKUP(TRIM(E416), 'Expense Category Mapping'!A:B, 2, FALSE), "Misc")</f>
        <v>Misc</v>
      </c>
    </row>
    <row r="417">
      <c r="G417" t="str">
        <f>IFERROR(VLOOKUP(TRIM(E417), 'Expense Category Mapping'!A:B, 2, FALSE), "Misc")</f>
        <v>Misc</v>
      </c>
    </row>
    <row r="418">
      <c r="G418" t="str">
        <f>IFERROR(VLOOKUP(TRIM(E418), 'Expense Category Mapping'!A:B, 2, FALSE), "Misc")</f>
        <v>Misc</v>
      </c>
    </row>
    <row r="419">
      <c r="G419" t="str">
        <f>IFERROR(VLOOKUP(TRIM(E419), 'Expense Category Mapping'!A:B, 2, FALSE), "Misc")</f>
        <v>Misc</v>
      </c>
    </row>
    <row r="420">
      <c r="G420" t="str">
        <f>IFERROR(VLOOKUP(TRIM(E420), 'Expense Category Mapping'!A:B, 2, FALSE), "Misc")</f>
        <v>Misc</v>
      </c>
    </row>
    <row r="421">
      <c r="G421" t="str">
        <f>IFERROR(VLOOKUP(TRIM(E421), 'Expense Category Mapping'!A:B, 2, FALSE), "Misc")</f>
        <v>Misc</v>
      </c>
    </row>
    <row r="422">
      <c r="G422" t="str">
        <f>IFERROR(VLOOKUP(TRIM(E422), 'Expense Category Mapping'!A:B, 2, FALSE), "Misc")</f>
        <v>Misc</v>
      </c>
    </row>
    <row r="423">
      <c r="G423" t="str">
        <f>IFERROR(VLOOKUP(TRIM(E423), 'Expense Category Mapping'!A:B, 2, FALSE), "Misc")</f>
        <v>Misc</v>
      </c>
    </row>
    <row r="424">
      <c r="G424" t="str">
        <f>IFERROR(VLOOKUP(TRIM(E424), 'Expense Category Mapping'!A:B, 2, FALSE), "Misc")</f>
        <v>Misc</v>
      </c>
    </row>
    <row r="425">
      <c r="G425" t="str">
        <f>IFERROR(VLOOKUP(TRIM(E425), 'Expense Category Mapping'!A:B, 2, FALSE), "Misc")</f>
        <v>Misc</v>
      </c>
    </row>
    <row r="426">
      <c r="G426" t="str">
        <f>IFERROR(VLOOKUP(TRIM(E426), 'Expense Category Mapping'!A:B, 2, FALSE), "Misc")</f>
        <v>Misc</v>
      </c>
    </row>
    <row r="427">
      <c r="G427" t="str">
        <f>IFERROR(VLOOKUP(TRIM(E427), 'Expense Category Mapping'!A:B, 2, FALSE), "Misc")</f>
        <v>Misc</v>
      </c>
    </row>
    <row r="428">
      <c r="G428" t="str">
        <f>IFERROR(VLOOKUP(TRIM(E428), 'Expense Category Mapping'!A:B, 2, FALSE), "Misc")</f>
        <v>Misc</v>
      </c>
    </row>
    <row r="429">
      <c r="G429" t="str">
        <f>IFERROR(VLOOKUP(TRIM(E429), 'Expense Category Mapping'!A:B, 2, FALSE), "Misc")</f>
        <v>Misc</v>
      </c>
    </row>
    <row r="430">
      <c r="G430" t="str">
        <f>IFERROR(VLOOKUP(TRIM(E430), 'Expense Category Mapping'!A:B, 2, FALSE), "Misc")</f>
        <v>Misc</v>
      </c>
    </row>
    <row r="431">
      <c r="G431" t="str">
        <f>IFERROR(VLOOKUP(TRIM(E431), 'Expense Category Mapping'!A:B, 2, FALSE), "Misc")</f>
        <v>Misc</v>
      </c>
    </row>
    <row r="432">
      <c r="G432" t="str">
        <f>IFERROR(VLOOKUP(TRIM(E432), 'Expense Category Mapping'!A:B, 2, FALSE), "Misc")</f>
        <v>Misc</v>
      </c>
    </row>
    <row r="433">
      <c r="G433" t="str">
        <f>IFERROR(VLOOKUP(TRIM(E433), 'Expense Category Mapping'!A:B, 2, FALSE), "Misc")</f>
        <v>Misc</v>
      </c>
    </row>
    <row r="434">
      <c r="G434" t="str">
        <f>IFERROR(VLOOKUP(TRIM(E434), 'Expense Category Mapping'!A:B, 2, FALSE), "Misc")</f>
        <v>Misc</v>
      </c>
    </row>
    <row r="435">
      <c r="G435" t="str">
        <f>IFERROR(VLOOKUP(TRIM(E435), 'Expense Category Mapping'!A:B, 2, FALSE), "Misc")</f>
        <v>Misc</v>
      </c>
    </row>
    <row r="436">
      <c r="G436" t="str">
        <f>IFERROR(VLOOKUP(TRIM(E436), 'Expense Category Mapping'!A:B, 2, FALSE), "Misc")</f>
        <v>Misc</v>
      </c>
    </row>
    <row r="437">
      <c r="G437" t="str">
        <f>IFERROR(VLOOKUP(TRIM(E437), 'Expense Category Mapping'!A:B, 2, FALSE), "Misc")</f>
        <v>Misc</v>
      </c>
    </row>
    <row r="438">
      <c r="G438" t="str">
        <f>IFERROR(VLOOKUP(TRIM(E438), 'Expense Category Mapping'!A:B, 2, FALSE), "Misc")</f>
        <v>Misc</v>
      </c>
    </row>
    <row r="439">
      <c r="G439" t="str">
        <f>IFERROR(VLOOKUP(TRIM(E439), 'Expense Category Mapping'!A:B, 2, FALSE), "Misc")</f>
        <v>Misc</v>
      </c>
    </row>
    <row r="440">
      <c r="G440" t="str">
        <f>IFERROR(VLOOKUP(TRIM(E440), 'Expense Category Mapping'!A:B, 2, FALSE), "Misc")</f>
        <v>Misc</v>
      </c>
    </row>
    <row r="441">
      <c r="G441" t="str">
        <f>IFERROR(VLOOKUP(TRIM(E441), 'Expense Category Mapping'!A:B, 2, FALSE), "Misc")</f>
        <v>Misc</v>
      </c>
    </row>
    <row r="442">
      <c r="G442" t="str">
        <f>IFERROR(VLOOKUP(TRIM(E442), 'Expense Category Mapping'!A:B, 2, FALSE), "Misc")</f>
        <v>Misc</v>
      </c>
    </row>
    <row r="443">
      <c r="G443" t="str">
        <f>IFERROR(VLOOKUP(TRIM(E443), 'Expense Category Mapping'!A:B, 2, FALSE), "Misc")</f>
        <v>Misc</v>
      </c>
    </row>
    <row r="444">
      <c r="G444" t="str">
        <f>IFERROR(VLOOKUP(TRIM(E444), 'Expense Category Mapping'!A:B, 2, FALSE), "Misc")</f>
        <v>Misc</v>
      </c>
    </row>
    <row r="445">
      <c r="G445" t="str">
        <f>IFERROR(VLOOKUP(TRIM(E445), 'Expense Category Mapping'!A:B, 2, FALSE), "Misc")</f>
        <v>Misc</v>
      </c>
    </row>
    <row r="446">
      <c r="G446" t="str">
        <f>IFERROR(VLOOKUP(TRIM(E446), 'Expense Category Mapping'!A:B, 2, FALSE), "Misc")</f>
        <v>Misc</v>
      </c>
    </row>
    <row r="447">
      <c r="G447" t="str">
        <f>IFERROR(VLOOKUP(TRIM(E447), 'Expense Category Mapping'!A:B, 2, FALSE), "Misc")</f>
        <v>Misc</v>
      </c>
    </row>
    <row r="448">
      <c r="G448" t="str">
        <f>IFERROR(VLOOKUP(TRIM(E448), 'Expense Category Mapping'!A:B, 2, FALSE), "Misc")</f>
        <v>Misc</v>
      </c>
    </row>
    <row r="449">
      <c r="G449" t="str">
        <f>IFERROR(VLOOKUP(TRIM(E449), 'Expense Category Mapping'!A:B, 2, FALSE), "Misc")</f>
        <v>Misc</v>
      </c>
    </row>
    <row r="450">
      <c r="G450" t="str">
        <f>IFERROR(VLOOKUP(TRIM(E450), 'Expense Category Mapping'!A:B, 2, FALSE), "Misc")</f>
        <v>Misc</v>
      </c>
    </row>
    <row r="451">
      <c r="G451" t="str">
        <f>IFERROR(VLOOKUP(TRIM(E451), 'Expense Category Mapping'!A:B, 2, FALSE), "Misc")</f>
        <v>Misc</v>
      </c>
    </row>
    <row r="452">
      <c r="G452" t="str">
        <f>IFERROR(VLOOKUP(TRIM(E452), 'Expense Category Mapping'!A:B, 2, FALSE), "Misc")</f>
        <v>Misc</v>
      </c>
    </row>
    <row r="453">
      <c r="G453" t="str">
        <f>IFERROR(VLOOKUP(TRIM(E453), 'Expense Category Mapping'!A:B, 2, FALSE), "Misc")</f>
        <v>Misc</v>
      </c>
    </row>
    <row r="454">
      <c r="G454" t="str">
        <f>IFERROR(VLOOKUP(TRIM(E454), 'Expense Category Mapping'!A:B, 2, FALSE), "Misc")</f>
        <v>Misc</v>
      </c>
    </row>
    <row r="455">
      <c r="G455" t="str">
        <f>IFERROR(VLOOKUP(TRIM(E455), 'Expense Category Mapping'!A:B, 2, FALSE), "Misc")</f>
        <v>Misc</v>
      </c>
    </row>
    <row r="456">
      <c r="G456" t="str">
        <f>IFERROR(VLOOKUP(TRIM(E456), 'Expense Category Mapping'!A:B, 2, FALSE), "Misc")</f>
        <v>Misc</v>
      </c>
    </row>
    <row r="457">
      <c r="G457" t="str">
        <f>IFERROR(VLOOKUP(TRIM(E457), 'Expense Category Mapping'!A:B, 2, FALSE), "Misc")</f>
        <v>Misc</v>
      </c>
    </row>
    <row r="458">
      <c r="G458" t="str">
        <f>IFERROR(VLOOKUP(TRIM(E458), 'Expense Category Mapping'!A:B, 2, FALSE), "Misc")</f>
        <v>Misc</v>
      </c>
    </row>
    <row r="459">
      <c r="G459" t="str">
        <f>IFERROR(VLOOKUP(TRIM(E459), 'Expense Category Mapping'!A:B, 2, FALSE), "Misc")</f>
        <v>Misc</v>
      </c>
    </row>
    <row r="460">
      <c r="G460" t="str">
        <f>IFERROR(VLOOKUP(TRIM(E460), 'Expense Category Mapping'!A:B, 2, FALSE), "Misc")</f>
        <v>Misc</v>
      </c>
    </row>
    <row r="461">
      <c r="G461" t="str">
        <f>IFERROR(VLOOKUP(TRIM(E461), 'Expense Category Mapping'!A:B, 2, FALSE), "Misc")</f>
        <v>Misc</v>
      </c>
    </row>
    <row r="462">
      <c r="G462" t="str">
        <f>IFERROR(VLOOKUP(TRIM(E462), 'Expense Category Mapping'!A:B, 2, FALSE), "Misc")</f>
        <v>Misc</v>
      </c>
    </row>
    <row r="463">
      <c r="G463" t="str">
        <f>IFERROR(VLOOKUP(TRIM(E463), 'Expense Category Mapping'!A:B, 2, FALSE), "Misc")</f>
        <v>Misc</v>
      </c>
    </row>
    <row r="464">
      <c r="G464" t="str">
        <f>IFERROR(VLOOKUP(TRIM(E464), 'Expense Category Mapping'!A:B, 2, FALSE), "Misc")</f>
        <v>Misc</v>
      </c>
    </row>
    <row r="465">
      <c r="G465" t="str">
        <f>IFERROR(VLOOKUP(TRIM(E465), 'Expense Category Mapping'!A:B, 2, FALSE), "Misc")</f>
        <v>Misc</v>
      </c>
    </row>
    <row r="466">
      <c r="G466" t="str">
        <f>IFERROR(VLOOKUP(TRIM(E466), 'Expense Category Mapping'!A:B, 2, FALSE), "Misc")</f>
        <v>Misc</v>
      </c>
    </row>
    <row r="467">
      <c r="G467" t="str">
        <f>IFERROR(VLOOKUP(TRIM(E467), 'Expense Category Mapping'!A:B, 2, FALSE), "Misc")</f>
        <v>Misc</v>
      </c>
    </row>
    <row r="468">
      <c r="G468" t="str">
        <f>IFERROR(VLOOKUP(TRIM(E468), 'Expense Category Mapping'!A:B, 2, FALSE), "Misc")</f>
        <v>Misc</v>
      </c>
    </row>
    <row r="469">
      <c r="G469" t="str">
        <f>IFERROR(VLOOKUP(TRIM(E469), 'Expense Category Mapping'!A:B, 2, FALSE), "Misc")</f>
        <v>Misc</v>
      </c>
    </row>
    <row r="470">
      <c r="G470" t="str">
        <f>IFERROR(VLOOKUP(TRIM(E470), 'Expense Category Mapping'!A:B, 2, FALSE), "Misc")</f>
        <v>Misc</v>
      </c>
    </row>
    <row r="471">
      <c r="G471" t="str">
        <f>IFERROR(VLOOKUP(TRIM(E471), 'Expense Category Mapping'!A:B, 2, FALSE), "Misc")</f>
        <v>Misc</v>
      </c>
    </row>
    <row r="472">
      <c r="G472" t="str">
        <f>IFERROR(VLOOKUP(TRIM(E472), 'Expense Category Mapping'!A:B, 2, FALSE), "Misc")</f>
        <v>Misc</v>
      </c>
    </row>
    <row r="473">
      <c r="G473" t="str">
        <f>IFERROR(VLOOKUP(TRIM(E473), 'Expense Category Mapping'!A:B, 2, FALSE), "Misc")</f>
        <v>Misc</v>
      </c>
    </row>
    <row r="474">
      <c r="G474" t="str">
        <f>IFERROR(VLOOKUP(TRIM(E474), 'Expense Category Mapping'!A:B, 2, FALSE), "Misc")</f>
        <v>Misc</v>
      </c>
    </row>
    <row r="475">
      <c r="G475" t="str">
        <f>IFERROR(VLOOKUP(TRIM(E475), 'Expense Category Mapping'!A:B, 2, FALSE), "Misc")</f>
        <v>Misc</v>
      </c>
    </row>
    <row r="476">
      <c r="G476" t="str">
        <f>IFERROR(VLOOKUP(TRIM(E476), 'Expense Category Mapping'!A:B, 2, FALSE), "Misc")</f>
        <v>Misc</v>
      </c>
    </row>
    <row r="477">
      <c r="G477" t="str">
        <f>IFERROR(VLOOKUP(TRIM(E477), 'Expense Category Mapping'!A:B, 2, FALSE), "Misc")</f>
        <v>Misc</v>
      </c>
    </row>
    <row r="478">
      <c r="G478" t="str">
        <f>IFERROR(VLOOKUP(TRIM(E478), 'Expense Category Mapping'!A:B, 2, FALSE), "Misc")</f>
        <v>Misc</v>
      </c>
    </row>
    <row r="479">
      <c r="G479" t="str">
        <f>IFERROR(VLOOKUP(TRIM(E479), 'Expense Category Mapping'!A:B, 2, FALSE), "Misc")</f>
        <v>Misc</v>
      </c>
    </row>
    <row r="480">
      <c r="G480" t="str">
        <f>IFERROR(VLOOKUP(TRIM(E480), 'Expense Category Mapping'!A:B, 2, FALSE), "Misc")</f>
        <v>Misc</v>
      </c>
    </row>
    <row r="481">
      <c r="G481" t="str">
        <f>IFERROR(VLOOKUP(TRIM(E481), 'Expense Category Mapping'!A:B, 2, FALSE), "Misc")</f>
        <v>Misc</v>
      </c>
    </row>
    <row r="482">
      <c r="G482" t="str">
        <f>IFERROR(VLOOKUP(TRIM(E482), 'Expense Category Mapping'!A:B, 2, FALSE), "Misc")</f>
        <v>Misc</v>
      </c>
    </row>
    <row r="483">
      <c r="G483" t="str">
        <f>IFERROR(VLOOKUP(TRIM(E483), 'Expense Category Mapping'!A:B, 2, FALSE), "Misc")</f>
        <v>Misc</v>
      </c>
    </row>
    <row r="484">
      <c r="G484" t="str">
        <f>IFERROR(VLOOKUP(TRIM(E484), 'Expense Category Mapping'!A:B, 2, FALSE), "Misc")</f>
        <v>Misc</v>
      </c>
    </row>
    <row r="485">
      <c r="G485" t="str">
        <f>IFERROR(VLOOKUP(TRIM(E485), 'Expense Category Mapping'!A:B, 2, FALSE), "Misc")</f>
        <v>Misc</v>
      </c>
    </row>
    <row r="486">
      <c r="G486" t="str">
        <f>IFERROR(VLOOKUP(TRIM(E486), 'Expense Category Mapping'!A:B, 2, FALSE), "Misc")</f>
        <v>Misc</v>
      </c>
    </row>
    <row r="487">
      <c r="G487" t="str">
        <f>IFERROR(VLOOKUP(TRIM(E487), 'Expense Category Mapping'!A:B, 2, FALSE), "Misc")</f>
        <v>Misc</v>
      </c>
    </row>
    <row r="488">
      <c r="G488" t="str">
        <f>IFERROR(VLOOKUP(TRIM(E488), 'Expense Category Mapping'!A:B, 2, FALSE), "Misc")</f>
        <v>Misc</v>
      </c>
    </row>
    <row r="489">
      <c r="G489" t="str">
        <f>IFERROR(VLOOKUP(TRIM(E489), 'Expense Category Mapping'!A:B, 2, FALSE), "Misc")</f>
        <v>Misc</v>
      </c>
    </row>
    <row r="490">
      <c r="G490" t="str">
        <f>IFERROR(VLOOKUP(TRIM(E490), 'Expense Category Mapping'!A:B, 2, FALSE), "Misc")</f>
        <v>Misc</v>
      </c>
    </row>
    <row r="491">
      <c r="G491" t="str">
        <f>IFERROR(VLOOKUP(TRIM(E491), 'Expense Category Mapping'!A:B, 2, FALSE), "Misc")</f>
        <v>Misc</v>
      </c>
    </row>
    <row r="492">
      <c r="G492" t="str">
        <f>IFERROR(VLOOKUP(TRIM(E492), 'Expense Category Mapping'!A:B, 2, FALSE), "Misc")</f>
        <v>Misc</v>
      </c>
    </row>
    <row r="493">
      <c r="G493" t="str">
        <f>IFERROR(VLOOKUP(TRIM(E493), 'Expense Category Mapping'!A:B, 2, FALSE), "Misc")</f>
        <v>Misc</v>
      </c>
    </row>
    <row r="494">
      <c r="G494" t="str">
        <f>IFERROR(VLOOKUP(TRIM(E494), 'Expense Category Mapping'!A:B, 2, FALSE), "Misc")</f>
        <v>Misc</v>
      </c>
    </row>
    <row r="495">
      <c r="G495" t="str">
        <f>IFERROR(VLOOKUP(TRIM(E495), 'Expense Category Mapping'!A:B, 2, FALSE), "Misc")</f>
        <v>Misc</v>
      </c>
    </row>
    <row r="496">
      <c r="G496" t="str">
        <f>IFERROR(VLOOKUP(TRIM(E496), 'Expense Category Mapping'!A:B, 2, FALSE), "Misc")</f>
        <v>Misc</v>
      </c>
    </row>
    <row r="497">
      <c r="G497" t="str">
        <f>IFERROR(VLOOKUP(TRIM(E497), 'Expense Category Mapping'!A:B, 2, FALSE), "Misc")</f>
        <v>Misc</v>
      </c>
    </row>
    <row r="498">
      <c r="G498" t="str">
        <f>IFERROR(VLOOKUP(TRIM(E498), 'Expense Category Mapping'!A:B, 2, FALSE), "Misc")</f>
        <v>Misc</v>
      </c>
    </row>
    <row r="499">
      <c r="G499" t="str">
        <f>IFERROR(VLOOKUP(TRIM(E499), 'Expense Category Mapping'!A:B, 2, FALSE), "Misc")</f>
        <v>Misc</v>
      </c>
    </row>
    <row r="500">
      <c r="G500" t="str">
        <f>IFERROR(VLOOKUP(TRIM(E500), 'Expense Category Mapping'!A:B, 2, FALSE), "Misc")</f>
        <v>Misc</v>
      </c>
    </row>
    <row r="501">
      <c r="G501" t="str">
        <f>IFERROR(VLOOKUP(TRIM(E501), 'Expense Category Mapping'!A:B, 2, FALSE), "Misc")</f>
        <v>Misc</v>
      </c>
    </row>
    <row r="502">
      <c r="G502" t="str">
        <f>IFERROR(VLOOKUP(TRIM(E502), 'Expense Category Mapping'!A:B, 2, FALSE), "Misc")</f>
        <v>Misc</v>
      </c>
    </row>
    <row r="503">
      <c r="G503" t="str">
        <f>IFERROR(VLOOKUP(TRIM(E503), 'Expense Category Mapping'!A:B, 2, FALSE), "Misc")</f>
        <v>Misc</v>
      </c>
    </row>
    <row r="504">
      <c r="G504" t="str">
        <f>IFERROR(VLOOKUP(TRIM(E504), 'Expense Category Mapping'!A:B, 2, FALSE), "Misc")</f>
        <v>Misc</v>
      </c>
    </row>
    <row r="505">
      <c r="G505" t="str">
        <f>IFERROR(VLOOKUP(TRIM(E505), 'Expense Category Mapping'!A:B, 2, FALSE), "Misc")</f>
        <v>Misc</v>
      </c>
    </row>
    <row r="506">
      <c r="G506" t="str">
        <f>IFERROR(VLOOKUP(TRIM(E506), 'Expense Category Mapping'!A:B, 2, FALSE), "Misc")</f>
        <v>Misc</v>
      </c>
    </row>
    <row r="507">
      <c r="G507" t="str">
        <f>IFERROR(VLOOKUP(TRIM(E507), 'Expense Category Mapping'!A:B, 2, FALSE), "Misc")</f>
        <v>Misc</v>
      </c>
    </row>
    <row r="508">
      <c r="G508" t="str">
        <f>IFERROR(VLOOKUP(TRIM(E508), 'Expense Category Mapping'!A:B, 2, FALSE), "Misc")</f>
        <v>Misc</v>
      </c>
    </row>
    <row r="509">
      <c r="G509" t="str">
        <f>IFERROR(VLOOKUP(TRIM(E509), 'Expense Category Mapping'!A:B, 2, FALSE), "Misc")</f>
        <v>Misc</v>
      </c>
    </row>
    <row r="510">
      <c r="G510" t="str">
        <f>IFERROR(VLOOKUP(TRIM(E510), 'Expense Category Mapping'!A:B, 2, FALSE), "Misc")</f>
        <v>Misc</v>
      </c>
    </row>
    <row r="511">
      <c r="G511" t="str">
        <f>IFERROR(VLOOKUP(TRIM(E511), 'Expense Category Mapping'!A:B, 2, FALSE), "Misc")</f>
        <v>Misc</v>
      </c>
    </row>
    <row r="512">
      <c r="G512" t="str">
        <f>IFERROR(VLOOKUP(TRIM(E512), 'Expense Category Mapping'!A:B, 2, FALSE), "Misc")</f>
        <v>Misc</v>
      </c>
    </row>
    <row r="513">
      <c r="G513" t="str">
        <f>IFERROR(VLOOKUP(TRIM(E513), 'Expense Category Mapping'!A:B, 2, FALSE), "Misc")</f>
        <v>Misc</v>
      </c>
    </row>
    <row r="514">
      <c r="G514" t="str">
        <f>IFERROR(VLOOKUP(TRIM(E514), 'Expense Category Mapping'!A:B, 2, FALSE), "Misc")</f>
        <v>Misc</v>
      </c>
    </row>
    <row r="515">
      <c r="G515" t="str">
        <f>IFERROR(VLOOKUP(TRIM(E515), 'Expense Category Mapping'!A:B, 2, FALSE), "Misc")</f>
        <v>Misc</v>
      </c>
    </row>
    <row r="516">
      <c r="G516" t="str">
        <f>IFERROR(VLOOKUP(TRIM(E516), 'Expense Category Mapping'!A:B, 2, FALSE), "Misc")</f>
        <v>Misc</v>
      </c>
    </row>
    <row r="517">
      <c r="G517" t="str">
        <f>IFERROR(VLOOKUP(TRIM(E517), 'Expense Category Mapping'!A:B, 2, FALSE), "Misc")</f>
        <v>Misc</v>
      </c>
    </row>
    <row r="518">
      <c r="G518" t="str">
        <f>IFERROR(VLOOKUP(TRIM(E518), 'Expense Category Mapping'!A:B, 2, FALSE), "Misc")</f>
        <v>Misc</v>
      </c>
    </row>
    <row r="519">
      <c r="G519" t="str">
        <f>IFERROR(VLOOKUP(TRIM(E519), 'Expense Category Mapping'!A:B, 2, FALSE), "Misc")</f>
        <v>Misc</v>
      </c>
    </row>
    <row r="520">
      <c r="G520" t="str">
        <f>IFERROR(VLOOKUP(TRIM(E520), 'Expense Category Mapping'!A:B, 2, FALSE), "Misc")</f>
        <v>Misc</v>
      </c>
    </row>
    <row r="521">
      <c r="G521" t="str">
        <f>IFERROR(VLOOKUP(TRIM(E521), 'Expense Category Mapping'!A:B, 2, FALSE), "Misc")</f>
        <v>Misc</v>
      </c>
    </row>
    <row r="522">
      <c r="G522" t="str">
        <f>IFERROR(VLOOKUP(TRIM(E522), 'Expense Category Mapping'!A:B, 2, FALSE), "Misc")</f>
        <v>Misc</v>
      </c>
    </row>
    <row r="523">
      <c r="G523" t="str">
        <f>IFERROR(VLOOKUP(TRIM(E523), 'Expense Category Mapping'!A:B, 2, FALSE), "Misc")</f>
        <v>Misc</v>
      </c>
    </row>
    <row r="524">
      <c r="G524" t="str">
        <f>IFERROR(VLOOKUP(TRIM(E524), 'Expense Category Mapping'!A:B, 2, FALSE), "Misc")</f>
        <v>Misc</v>
      </c>
    </row>
    <row r="525">
      <c r="G525" t="str">
        <f>IFERROR(VLOOKUP(TRIM(E525), 'Expense Category Mapping'!A:B, 2, FALSE), "Misc")</f>
        <v>Misc</v>
      </c>
    </row>
    <row r="526">
      <c r="G526" t="str">
        <f>IFERROR(VLOOKUP(TRIM(E526), 'Expense Category Mapping'!A:B, 2, FALSE), "Misc")</f>
        <v>Misc</v>
      </c>
    </row>
    <row r="527">
      <c r="G527" t="str">
        <f>IFERROR(VLOOKUP(TRIM(E527), 'Expense Category Mapping'!A:B, 2, FALSE), "Misc")</f>
        <v>Misc</v>
      </c>
    </row>
    <row r="528">
      <c r="G528" t="str">
        <f>IFERROR(VLOOKUP(TRIM(E528), 'Expense Category Mapping'!A:B, 2, FALSE), "Misc")</f>
        <v>Misc</v>
      </c>
    </row>
    <row r="529">
      <c r="G529" t="str">
        <f>IFERROR(VLOOKUP(TRIM(E529), 'Expense Category Mapping'!A:B, 2, FALSE), "Misc")</f>
        <v>Misc</v>
      </c>
    </row>
    <row r="530">
      <c r="G530" t="str">
        <f>IFERROR(VLOOKUP(TRIM(E530), 'Expense Category Mapping'!A:B, 2, FALSE), "Misc")</f>
        <v>Misc</v>
      </c>
    </row>
    <row r="531">
      <c r="G531" t="str">
        <f>IFERROR(VLOOKUP(TRIM(E531), 'Expense Category Mapping'!A:B, 2, FALSE), "Misc")</f>
        <v>Misc</v>
      </c>
    </row>
    <row r="532">
      <c r="G532" t="str">
        <f>IFERROR(VLOOKUP(TRIM(E532), 'Expense Category Mapping'!A:B, 2, FALSE), "Misc")</f>
        <v>Misc</v>
      </c>
    </row>
    <row r="533">
      <c r="G533" t="str">
        <f>IFERROR(VLOOKUP(TRIM(E533), 'Expense Category Mapping'!A:B, 2, FALSE), "Misc")</f>
        <v>Misc</v>
      </c>
    </row>
    <row r="534">
      <c r="G534" t="str">
        <f>IFERROR(VLOOKUP(TRIM(E534), 'Expense Category Mapping'!A:B, 2, FALSE), "Misc")</f>
        <v>Misc</v>
      </c>
    </row>
    <row r="535">
      <c r="G535" t="str">
        <f>IFERROR(VLOOKUP(TRIM(E535), 'Expense Category Mapping'!A:B, 2, FALSE), "Misc")</f>
        <v>Misc</v>
      </c>
    </row>
    <row r="536">
      <c r="G536" t="str">
        <f>IFERROR(VLOOKUP(TRIM(E536), 'Expense Category Mapping'!A:B, 2, FALSE), "Misc")</f>
        <v>Misc</v>
      </c>
    </row>
    <row r="537">
      <c r="G537" t="str">
        <f>IFERROR(VLOOKUP(TRIM(E537), 'Expense Category Mapping'!A:B, 2, FALSE), "Misc")</f>
        <v>Misc</v>
      </c>
    </row>
    <row r="538">
      <c r="G538" t="str">
        <f>IFERROR(VLOOKUP(TRIM(E538), 'Expense Category Mapping'!A:B, 2, FALSE), "Misc")</f>
        <v>Misc</v>
      </c>
    </row>
    <row r="539">
      <c r="G539" t="str">
        <f>IFERROR(VLOOKUP(TRIM(E539), 'Expense Category Mapping'!A:B, 2, FALSE), "Misc")</f>
        <v>Misc</v>
      </c>
    </row>
    <row r="540">
      <c r="G540" t="str">
        <f>IFERROR(VLOOKUP(TRIM(E540), 'Expense Category Mapping'!A:B, 2, FALSE), "Misc")</f>
        <v>Misc</v>
      </c>
    </row>
    <row r="541">
      <c r="G541" t="str">
        <f>IFERROR(VLOOKUP(TRIM(E541), 'Expense Category Mapping'!A:B, 2, FALSE), "Misc")</f>
        <v>Misc</v>
      </c>
    </row>
    <row r="542">
      <c r="G542" t="str">
        <f>IFERROR(VLOOKUP(TRIM(E542), 'Expense Category Mapping'!A:B, 2, FALSE), "Misc")</f>
        <v>Misc</v>
      </c>
    </row>
    <row r="543">
      <c r="G543" t="str">
        <f>IFERROR(VLOOKUP(TRIM(E543), 'Expense Category Mapping'!A:B, 2, FALSE), "Misc")</f>
        <v>Misc</v>
      </c>
    </row>
    <row r="544">
      <c r="G544" t="str">
        <f>IFERROR(VLOOKUP(TRIM(E544), 'Expense Category Mapping'!A:B, 2, FALSE), "Misc")</f>
        <v>Misc</v>
      </c>
    </row>
    <row r="545">
      <c r="G545" t="str">
        <f>IFERROR(VLOOKUP(TRIM(E545), 'Expense Category Mapping'!A:B, 2, FALSE), "Misc")</f>
        <v>Misc</v>
      </c>
    </row>
    <row r="546">
      <c r="G546" t="str">
        <f>IFERROR(VLOOKUP(TRIM(E546), 'Expense Category Mapping'!A:B, 2, FALSE), "Misc")</f>
        <v>Misc</v>
      </c>
    </row>
    <row r="547">
      <c r="G547" t="str">
        <f>IFERROR(VLOOKUP(TRIM(E547), 'Expense Category Mapping'!A:B, 2, FALSE), "Misc")</f>
        <v>Misc</v>
      </c>
    </row>
    <row r="548">
      <c r="G548" t="str">
        <f>IFERROR(VLOOKUP(TRIM(E548), 'Expense Category Mapping'!A:B, 2, FALSE), "Misc")</f>
        <v>Misc</v>
      </c>
    </row>
    <row r="549">
      <c r="G549" t="str">
        <f>IFERROR(VLOOKUP(TRIM(E549), 'Expense Category Mapping'!A:B, 2, FALSE), "Misc")</f>
        <v>Misc</v>
      </c>
    </row>
    <row r="550">
      <c r="G550" t="str">
        <f>IFERROR(VLOOKUP(TRIM(E550), 'Expense Category Mapping'!A:B, 2, FALSE), "Misc")</f>
        <v>Misc</v>
      </c>
    </row>
    <row r="551">
      <c r="G551" t="str">
        <f>IFERROR(VLOOKUP(TRIM(E551), 'Expense Category Mapping'!A:B, 2, FALSE), "Misc")</f>
        <v>Misc</v>
      </c>
    </row>
    <row r="552">
      <c r="G552" t="str">
        <f>IFERROR(VLOOKUP(TRIM(E552), 'Expense Category Mapping'!A:B, 2, FALSE), "Misc")</f>
        <v>Misc</v>
      </c>
    </row>
    <row r="553">
      <c r="G553" t="str">
        <f>IFERROR(VLOOKUP(TRIM(E553), 'Expense Category Mapping'!A:B, 2, FALSE), "Misc")</f>
        <v>Misc</v>
      </c>
    </row>
    <row r="554">
      <c r="G554" t="str">
        <f>IFERROR(VLOOKUP(TRIM(E554), 'Expense Category Mapping'!A:B, 2, FALSE), "Misc")</f>
        <v>Misc</v>
      </c>
    </row>
    <row r="555">
      <c r="G555" t="str">
        <f>IFERROR(VLOOKUP(TRIM(E555), 'Expense Category Mapping'!A:B, 2, FALSE), "Misc")</f>
        <v>Misc</v>
      </c>
    </row>
    <row r="556">
      <c r="G556" t="str">
        <f>IFERROR(VLOOKUP(TRIM(E556), 'Expense Category Mapping'!A:B, 2, FALSE), "Misc")</f>
        <v>Misc</v>
      </c>
    </row>
    <row r="557">
      <c r="G557" t="str">
        <f>IFERROR(VLOOKUP(TRIM(E557), 'Expense Category Mapping'!A:B, 2, FALSE), "Misc")</f>
        <v>Misc</v>
      </c>
    </row>
    <row r="558">
      <c r="G558" t="str">
        <f>IFERROR(VLOOKUP(TRIM(E558), 'Expense Category Mapping'!A:B, 2, FALSE), "Misc")</f>
        <v>Misc</v>
      </c>
    </row>
    <row r="559">
      <c r="G559" t="str">
        <f>IFERROR(VLOOKUP(TRIM(E559), 'Expense Category Mapping'!A:B, 2, FALSE), "Misc")</f>
        <v>Misc</v>
      </c>
    </row>
    <row r="560">
      <c r="G560" t="str">
        <f>IFERROR(VLOOKUP(TRIM(E560), 'Expense Category Mapping'!A:B, 2, FALSE), "Misc")</f>
        <v>Misc</v>
      </c>
    </row>
    <row r="561">
      <c r="G561" t="str">
        <f>IFERROR(VLOOKUP(TRIM(E561), 'Expense Category Mapping'!A:B, 2, FALSE), "Misc")</f>
        <v>Misc</v>
      </c>
    </row>
    <row r="562">
      <c r="G562" t="str">
        <f>IFERROR(VLOOKUP(TRIM(E562), 'Expense Category Mapping'!A:B, 2, FALSE), "Misc")</f>
        <v>Misc</v>
      </c>
    </row>
    <row r="563">
      <c r="G563" t="str">
        <f>IFERROR(VLOOKUP(TRIM(E563), 'Expense Category Mapping'!A:B, 2, FALSE), "Misc")</f>
        <v>Misc</v>
      </c>
    </row>
    <row r="564">
      <c r="G564" t="str">
        <f>IFERROR(VLOOKUP(TRIM(E564), 'Expense Category Mapping'!A:B, 2, FALSE), "Misc")</f>
        <v>Misc</v>
      </c>
    </row>
    <row r="565">
      <c r="G565" t="str">
        <f>IFERROR(VLOOKUP(TRIM(E565), 'Expense Category Mapping'!A:B, 2, FALSE), "Misc")</f>
        <v>Misc</v>
      </c>
    </row>
    <row r="566">
      <c r="G566" t="str">
        <f>IFERROR(VLOOKUP(TRIM(E566), 'Expense Category Mapping'!A:B, 2, FALSE), "Misc")</f>
        <v>Misc</v>
      </c>
    </row>
    <row r="567">
      <c r="G567" t="str">
        <f>IFERROR(VLOOKUP(TRIM(E567), 'Expense Category Mapping'!A:B, 2, FALSE), "Misc")</f>
        <v>Misc</v>
      </c>
    </row>
    <row r="568">
      <c r="G568" t="str">
        <f>IFERROR(VLOOKUP(TRIM(E568), 'Expense Category Mapping'!A:B, 2, FALSE), "Misc")</f>
        <v>Misc</v>
      </c>
    </row>
    <row r="569">
      <c r="G569" t="str">
        <f>IFERROR(VLOOKUP(TRIM(E569), 'Expense Category Mapping'!A:B, 2, FALSE), "Misc")</f>
        <v>Misc</v>
      </c>
    </row>
    <row r="570">
      <c r="G570" t="str">
        <f>IFERROR(VLOOKUP(TRIM(E570), 'Expense Category Mapping'!A:B, 2, FALSE), "Misc")</f>
        <v>Misc</v>
      </c>
    </row>
    <row r="571">
      <c r="G571" t="str">
        <f>IFERROR(VLOOKUP(TRIM(E571), 'Expense Category Mapping'!A:B, 2, FALSE), "Misc")</f>
        <v>Misc</v>
      </c>
    </row>
    <row r="572">
      <c r="G572" t="str">
        <f>IFERROR(VLOOKUP(TRIM(E572), 'Expense Category Mapping'!A:B, 2, FALSE), "Misc")</f>
        <v>Misc</v>
      </c>
    </row>
    <row r="573">
      <c r="G573" t="str">
        <f>IFERROR(VLOOKUP(TRIM(E573), 'Expense Category Mapping'!A:B, 2, FALSE), "Misc")</f>
        <v>Misc</v>
      </c>
    </row>
    <row r="574">
      <c r="G574" t="str">
        <f>IFERROR(VLOOKUP(TRIM(E574), 'Expense Category Mapping'!A:B, 2, FALSE), "Misc")</f>
        <v>Misc</v>
      </c>
    </row>
    <row r="575">
      <c r="G575" t="str">
        <f>IFERROR(VLOOKUP(TRIM(E575), 'Expense Category Mapping'!A:B, 2, FALSE), "Misc")</f>
        <v>Misc</v>
      </c>
    </row>
    <row r="576">
      <c r="G576" t="str">
        <f>IFERROR(VLOOKUP(TRIM(E576), 'Expense Category Mapping'!A:B, 2, FALSE), "Misc")</f>
        <v>Misc</v>
      </c>
    </row>
    <row r="577">
      <c r="G577" t="str">
        <f>IFERROR(VLOOKUP(TRIM(E577), 'Expense Category Mapping'!A:B, 2, FALSE), "Misc")</f>
        <v>Misc</v>
      </c>
    </row>
    <row r="578">
      <c r="G578" t="str">
        <f>IFERROR(VLOOKUP(TRIM(E578), 'Expense Category Mapping'!A:B, 2, FALSE), "Misc")</f>
        <v>Misc</v>
      </c>
    </row>
    <row r="579">
      <c r="G579" t="str">
        <f>IFERROR(VLOOKUP(TRIM(E579), 'Expense Category Mapping'!A:B, 2, FALSE), "Misc")</f>
        <v>Misc</v>
      </c>
    </row>
    <row r="580">
      <c r="G580" t="str">
        <f>IFERROR(VLOOKUP(TRIM(E580), 'Expense Category Mapping'!A:B, 2, FALSE), "Misc")</f>
        <v>Misc</v>
      </c>
    </row>
    <row r="581">
      <c r="G581" t="str">
        <f>IFERROR(VLOOKUP(TRIM(E581), 'Expense Category Mapping'!A:B, 2, FALSE), "Misc")</f>
        <v>Misc</v>
      </c>
    </row>
    <row r="582">
      <c r="G582" t="str">
        <f>IFERROR(VLOOKUP(TRIM(E582), 'Expense Category Mapping'!A:B, 2, FALSE), "Misc")</f>
        <v>Misc</v>
      </c>
    </row>
    <row r="583">
      <c r="G583" t="str">
        <f>IFERROR(VLOOKUP(TRIM(E583), 'Expense Category Mapping'!A:B, 2, FALSE), "Misc")</f>
        <v>Misc</v>
      </c>
    </row>
    <row r="584">
      <c r="G584" t="str">
        <f>IFERROR(VLOOKUP(TRIM(E584), 'Expense Category Mapping'!A:B, 2, FALSE), "Misc")</f>
        <v>Misc</v>
      </c>
    </row>
    <row r="585">
      <c r="G585" t="str">
        <f>IFERROR(VLOOKUP(TRIM(E585), 'Expense Category Mapping'!A:B, 2, FALSE), "Misc")</f>
        <v>Misc</v>
      </c>
    </row>
    <row r="586">
      <c r="G586" t="str">
        <f>IFERROR(VLOOKUP(TRIM(E586), 'Expense Category Mapping'!A:B, 2, FALSE), "Misc")</f>
        <v>Misc</v>
      </c>
    </row>
    <row r="587">
      <c r="G587" t="str">
        <f>IFERROR(VLOOKUP(TRIM(E587), 'Expense Category Mapping'!A:B, 2, FALSE), "Misc")</f>
        <v>Misc</v>
      </c>
    </row>
    <row r="588">
      <c r="G588" t="str">
        <f>IFERROR(VLOOKUP(TRIM(E588), 'Expense Category Mapping'!A:B, 2, FALSE), "Misc")</f>
        <v>Misc</v>
      </c>
    </row>
    <row r="589">
      <c r="G589" t="str">
        <f>IFERROR(VLOOKUP(TRIM(E589), 'Expense Category Mapping'!A:B, 2, FALSE), "Misc")</f>
        <v>Misc</v>
      </c>
    </row>
    <row r="590">
      <c r="G590" t="str">
        <f>IFERROR(VLOOKUP(TRIM(E590), 'Expense Category Mapping'!A:B, 2, FALSE), "Misc")</f>
        <v>Misc</v>
      </c>
    </row>
    <row r="591">
      <c r="G591" t="str">
        <f>IFERROR(VLOOKUP(TRIM(E591), 'Expense Category Mapping'!A:B, 2, FALSE), "Misc")</f>
        <v>Misc</v>
      </c>
    </row>
    <row r="592">
      <c r="G592" t="str">
        <f>IFERROR(VLOOKUP(TRIM(E592), 'Expense Category Mapping'!A:B, 2, FALSE), "Misc")</f>
        <v>Misc</v>
      </c>
    </row>
    <row r="593">
      <c r="G593" t="str">
        <f>IFERROR(VLOOKUP(TRIM(E593), 'Expense Category Mapping'!A:B, 2, FALSE), "Misc")</f>
        <v>Misc</v>
      </c>
    </row>
    <row r="594">
      <c r="G594" t="str">
        <f>IFERROR(VLOOKUP(TRIM(E594), 'Expense Category Mapping'!A:B, 2, FALSE), "Misc")</f>
        <v>Misc</v>
      </c>
    </row>
    <row r="595">
      <c r="G595" t="str">
        <f>IFERROR(VLOOKUP(TRIM(E595), 'Expense Category Mapping'!A:B, 2, FALSE), "Misc")</f>
        <v>Misc</v>
      </c>
    </row>
    <row r="596">
      <c r="G596" t="str">
        <f>IFERROR(VLOOKUP(TRIM(E596), 'Expense Category Mapping'!A:B, 2, FALSE), "Misc")</f>
        <v>Misc</v>
      </c>
    </row>
    <row r="597">
      <c r="G597" t="str">
        <f>IFERROR(VLOOKUP(TRIM(E597), 'Expense Category Mapping'!A:B, 2, FALSE), "Misc")</f>
        <v>Misc</v>
      </c>
    </row>
    <row r="598">
      <c r="G598" t="str">
        <f>IFERROR(VLOOKUP(TRIM(E598), 'Expense Category Mapping'!A:B, 2, FALSE), "Misc")</f>
        <v>Misc</v>
      </c>
    </row>
    <row r="599">
      <c r="G599" t="str">
        <f>IFERROR(VLOOKUP(TRIM(E599), 'Expense Category Mapping'!A:B, 2, FALSE), "Misc")</f>
        <v>Misc</v>
      </c>
    </row>
    <row r="600">
      <c r="G600" t="str">
        <f>IFERROR(VLOOKUP(TRIM(E600), 'Expense Category Mapping'!A:B, 2, FALSE), "Misc")</f>
        <v>Misc</v>
      </c>
    </row>
    <row r="601">
      <c r="G601" t="str">
        <f>IFERROR(VLOOKUP(TRIM(E601), 'Expense Category Mapping'!A:B, 2, FALSE), "Misc")</f>
        <v>Misc</v>
      </c>
    </row>
    <row r="602">
      <c r="G602" t="str">
        <f>IFERROR(VLOOKUP(TRIM(E602), 'Expense Category Mapping'!A:B, 2, FALSE), "Misc")</f>
        <v>Misc</v>
      </c>
    </row>
    <row r="603">
      <c r="G603" t="str">
        <f>IFERROR(VLOOKUP(TRIM(E603), 'Expense Category Mapping'!A:B, 2, FALSE), "Misc")</f>
        <v>Misc</v>
      </c>
    </row>
    <row r="604">
      <c r="G604" t="str">
        <f>IFERROR(VLOOKUP(TRIM(E604), 'Expense Category Mapping'!A:B, 2, FALSE), "Misc")</f>
        <v>Misc</v>
      </c>
    </row>
    <row r="605">
      <c r="G605" t="str">
        <f>IFERROR(VLOOKUP(TRIM(E605), 'Expense Category Mapping'!A:B, 2, FALSE), "Misc")</f>
        <v>Misc</v>
      </c>
    </row>
    <row r="606">
      <c r="G606" t="str">
        <f>IFERROR(VLOOKUP(TRIM(E606), 'Expense Category Mapping'!A:B, 2, FALSE), "Misc")</f>
        <v>Misc</v>
      </c>
    </row>
    <row r="607">
      <c r="G607" t="str">
        <f>IFERROR(VLOOKUP(TRIM(E607), 'Expense Category Mapping'!A:B, 2, FALSE), "Misc")</f>
        <v>Misc</v>
      </c>
    </row>
    <row r="608">
      <c r="G608" t="str">
        <f>IFERROR(VLOOKUP(TRIM(E608), 'Expense Category Mapping'!A:B, 2, FALSE), "Misc")</f>
        <v>Misc</v>
      </c>
    </row>
    <row r="609">
      <c r="G609" t="str">
        <f>IFERROR(VLOOKUP(TRIM(E609), 'Expense Category Mapping'!A:B, 2, FALSE), "Misc")</f>
        <v>Misc</v>
      </c>
    </row>
    <row r="610">
      <c r="G610" t="str">
        <f>IFERROR(VLOOKUP(TRIM(E610), 'Expense Category Mapping'!A:B, 2, FALSE), "Misc")</f>
        <v>Misc</v>
      </c>
    </row>
    <row r="611">
      <c r="G611" t="str">
        <f>IFERROR(VLOOKUP(TRIM(E611), 'Expense Category Mapping'!A:B, 2, FALSE), "Misc")</f>
        <v>Misc</v>
      </c>
    </row>
    <row r="612">
      <c r="G612" t="str">
        <f>IFERROR(VLOOKUP(TRIM(E612), 'Expense Category Mapping'!A:B, 2, FALSE), "Misc")</f>
        <v>Misc</v>
      </c>
    </row>
    <row r="613">
      <c r="G613" t="str">
        <f>IFERROR(VLOOKUP(TRIM(E613), 'Expense Category Mapping'!A:B, 2, FALSE), "Misc")</f>
        <v>Misc</v>
      </c>
    </row>
    <row r="614">
      <c r="G614" t="str">
        <f>IFERROR(VLOOKUP(TRIM(E614), 'Expense Category Mapping'!A:B, 2, FALSE), "Misc")</f>
        <v>Misc</v>
      </c>
    </row>
    <row r="615">
      <c r="G615" t="str">
        <f>IFERROR(VLOOKUP(TRIM(E615), 'Expense Category Mapping'!A:B, 2, FALSE), "Misc")</f>
        <v>Misc</v>
      </c>
    </row>
    <row r="616">
      <c r="G616" t="str">
        <f>IFERROR(VLOOKUP(TRIM(E616), 'Expense Category Mapping'!A:B, 2, FALSE), "Misc")</f>
        <v>Misc</v>
      </c>
    </row>
    <row r="617">
      <c r="G617" t="str">
        <f>IFERROR(VLOOKUP(TRIM(E617), 'Expense Category Mapping'!A:B, 2, FALSE), "Misc")</f>
        <v>Misc</v>
      </c>
    </row>
    <row r="618">
      <c r="G618" t="str">
        <f>IFERROR(VLOOKUP(TRIM(E618), 'Expense Category Mapping'!A:B, 2, FALSE), "Misc")</f>
        <v>Misc</v>
      </c>
    </row>
    <row r="619">
      <c r="G619" t="str">
        <f>IFERROR(VLOOKUP(TRIM(E619), 'Expense Category Mapping'!A:B, 2, FALSE), "Misc")</f>
        <v>Misc</v>
      </c>
    </row>
    <row r="620">
      <c r="G620" t="str">
        <f>IFERROR(VLOOKUP(TRIM(E620), 'Expense Category Mapping'!A:B, 2, FALSE), "Misc")</f>
        <v>Misc</v>
      </c>
    </row>
    <row r="621">
      <c r="G621" t="str">
        <f>IFERROR(VLOOKUP(TRIM(E621), 'Expense Category Mapping'!A:B, 2, FALSE), "Misc")</f>
        <v>Misc</v>
      </c>
    </row>
    <row r="622">
      <c r="G622" t="str">
        <f>IFERROR(VLOOKUP(TRIM(E622), 'Expense Category Mapping'!A:B, 2, FALSE), "Misc")</f>
        <v>Misc</v>
      </c>
    </row>
    <row r="623">
      <c r="G623" t="str">
        <f>IFERROR(VLOOKUP(TRIM(E623), 'Expense Category Mapping'!A:B, 2, FALSE), "Misc")</f>
        <v>Misc</v>
      </c>
    </row>
    <row r="624">
      <c r="G624" t="str">
        <f>IFERROR(VLOOKUP(TRIM(E624), 'Expense Category Mapping'!A:B, 2, FALSE), "Misc")</f>
        <v>Misc</v>
      </c>
    </row>
    <row r="625">
      <c r="G625" t="str">
        <f>IFERROR(VLOOKUP(TRIM(E625), 'Expense Category Mapping'!A:B, 2, FALSE), "Misc")</f>
        <v>Misc</v>
      </c>
    </row>
    <row r="626">
      <c r="G626" t="str">
        <f>IFERROR(VLOOKUP(TRIM(E626), 'Expense Category Mapping'!A:B, 2, FALSE), "Misc")</f>
        <v>Misc</v>
      </c>
    </row>
    <row r="627">
      <c r="G627" t="str">
        <f>IFERROR(VLOOKUP(TRIM(E627), 'Expense Category Mapping'!A:B, 2, FALSE), "Misc")</f>
        <v>Misc</v>
      </c>
    </row>
    <row r="628">
      <c r="G628" t="str">
        <f>IFERROR(VLOOKUP(TRIM(E628), 'Expense Category Mapping'!A:B, 2, FALSE), "Misc")</f>
        <v>Misc</v>
      </c>
    </row>
    <row r="629">
      <c r="G629" t="str">
        <f>IFERROR(VLOOKUP(TRIM(E629), 'Expense Category Mapping'!A:B, 2, FALSE), "Misc")</f>
        <v>Misc</v>
      </c>
    </row>
    <row r="630">
      <c r="G630" t="str">
        <f>IFERROR(VLOOKUP(TRIM(E630), 'Expense Category Mapping'!A:B, 2, FALSE), "Misc")</f>
        <v>Misc</v>
      </c>
    </row>
    <row r="631">
      <c r="G631" t="str">
        <f>IFERROR(VLOOKUP(TRIM(E631), 'Expense Category Mapping'!A:B, 2, FALSE), "Misc")</f>
        <v>Misc</v>
      </c>
    </row>
    <row r="632">
      <c r="G632" t="str">
        <f>IFERROR(VLOOKUP(TRIM(E632), 'Expense Category Mapping'!A:B, 2, FALSE), "Misc")</f>
        <v>Misc</v>
      </c>
    </row>
    <row r="633">
      <c r="G633" t="str">
        <f>IFERROR(VLOOKUP(TRIM(E633), 'Expense Category Mapping'!A:B, 2, FALSE), "Misc")</f>
        <v>Misc</v>
      </c>
    </row>
    <row r="634">
      <c r="G634" t="str">
        <f>IFERROR(VLOOKUP(TRIM(E634), 'Expense Category Mapping'!A:B, 2, FALSE), "Misc")</f>
        <v>Misc</v>
      </c>
    </row>
    <row r="635">
      <c r="G635" t="str">
        <f>IFERROR(VLOOKUP(TRIM(E635), 'Expense Category Mapping'!A:B, 2, FALSE), "Misc")</f>
        <v>Misc</v>
      </c>
    </row>
    <row r="636">
      <c r="G636" t="str">
        <f>IFERROR(VLOOKUP(TRIM(E636), 'Expense Category Mapping'!A:B, 2, FALSE), "Misc")</f>
        <v>Misc</v>
      </c>
    </row>
    <row r="637">
      <c r="G637" t="str">
        <f>IFERROR(VLOOKUP(TRIM(E637), 'Expense Category Mapping'!A:B, 2, FALSE), "Misc")</f>
        <v>Misc</v>
      </c>
    </row>
    <row r="638">
      <c r="G638" t="str">
        <f>IFERROR(VLOOKUP(TRIM(E638), 'Expense Category Mapping'!A:B, 2, FALSE), "Misc")</f>
        <v>Misc</v>
      </c>
    </row>
    <row r="639">
      <c r="G639" t="str">
        <f>IFERROR(VLOOKUP(TRIM(E639), 'Expense Category Mapping'!A:B, 2, FALSE), "Misc")</f>
        <v>Misc</v>
      </c>
    </row>
    <row r="640">
      <c r="G640" t="str">
        <f>IFERROR(VLOOKUP(TRIM(E640), 'Expense Category Mapping'!A:B, 2, FALSE), "Misc")</f>
        <v>Misc</v>
      </c>
    </row>
    <row r="641">
      <c r="G641" t="str">
        <f>IFERROR(VLOOKUP(TRIM(E641), 'Expense Category Mapping'!A:B, 2, FALSE), "Misc")</f>
        <v>Misc</v>
      </c>
    </row>
    <row r="642">
      <c r="G642" t="str">
        <f>IFERROR(VLOOKUP(TRIM(E642), 'Expense Category Mapping'!A:B, 2, FALSE), "Misc")</f>
        <v>Misc</v>
      </c>
    </row>
    <row r="643">
      <c r="G643" t="str">
        <f>IFERROR(VLOOKUP(TRIM(E643), 'Expense Category Mapping'!A:B, 2, FALSE), "Misc")</f>
        <v>Misc</v>
      </c>
    </row>
    <row r="644">
      <c r="G644" t="str">
        <f>IFERROR(VLOOKUP(TRIM(E644), 'Expense Category Mapping'!A:B, 2, FALSE), "Misc")</f>
        <v>Misc</v>
      </c>
    </row>
    <row r="645">
      <c r="G645" t="str">
        <f>IFERROR(VLOOKUP(TRIM(E645), 'Expense Category Mapping'!A:B, 2, FALSE), "Misc")</f>
        <v>Misc</v>
      </c>
    </row>
    <row r="646">
      <c r="G646" t="str">
        <f>IFERROR(VLOOKUP(TRIM(E646), 'Expense Category Mapping'!A:B, 2, FALSE), "Misc")</f>
        <v>Misc</v>
      </c>
    </row>
    <row r="647">
      <c r="G647" t="str">
        <f>IFERROR(VLOOKUP(TRIM(E647), 'Expense Category Mapping'!A:B, 2, FALSE), "Misc")</f>
        <v>Misc</v>
      </c>
    </row>
    <row r="648">
      <c r="G648" t="str">
        <f>IFERROR(VLOOKUP(TRIM(E648), 'Expense Category Mapping'!A:B, 2, FALSE), "Misc")</f>
        <v>Misc</v>
      </c>
    </row>
    <row r="649">
      <c r="G649" t="str">
        <f>IFERROR(VLOOKUP(TRIM(E649), 'Expense Category Mapping'!A:B, 2, FALSE), "Misc")</f>
        <v>Misc</v>
      </c>
    </row>
    <row r="650">
      <c r="G650" t="str">
        <f>IFERROR(VLOOKUP(TRIM(E650), 'Expense Category Mapping'!A:B, 2, FALSE), "Misc")</f>
        <v>Misc</v>
      </c>
    </row>
    <row r="651">
      <c r="G651" t="str">
        <f>IFERROR(VLOOKUP(TRIM(E651), 'Expense Category Mapping'!A:B, 2, FALSE), "Misc")</f>
        <v>Misc</v>
      </c>
    </row>
    <row r="652">
      <c r="G652" t="str">
        <f>IFERROR(VLOOKUP(TRIM(E652), 'Expense Category Mapping'!A:B, 2, FALSE), "Misc")</f>
        <v>Misc</v>
      </c>
    </row>
    <row r="653">
      <c r="G653" t="str">
        <f>IFERROR(VLOOKUP(TRIM(E653), 'Expense Category Mapping'!A:B, 2, FALSE), "Misc")</f>
        <v>Misc</v>
      </c>
    </row>
    <row r="654">
      <c r="G654" t="str">
        <f>IFERROR(VLOOKUP(TRIM(E654), 'Expense Category Mapping'!A:B, 2, FALSE), "Misc")</f>
        <v>Misc</v>
      </c>
    </row>
    <row r="655">
      <c r="G655" t="str">
        <f>IFERROR(VLOOKUP(TRIM(E655), 'Expense Category Mapping'!A:B, 2, FALSE), "Misc")</f>
        <v>Misc</v>
      </c>
    </row>
    <row r="656">
      <c r="G656" t="str">
        <f>IFERROR(VLOOKUP(TRIM(E656), 'Expense Category Mapping'!A:B, 2, FALSE), "Misc")</f>
        <v>Misc</v>
      </c>
    </row>
    <row r="657">
      <c r="G657" t="str">
        <f>IFERROR(VLOOKUP(TRIM(E657), 'Expense Category Mapping'!A:B, 2, FALSE), "Misc")</f>
        <v>Misc</v>
      </c>
    </row>
    <row r="658">
      <c r="G658" t="str">
        <f>IFERROR(VLOOKUP(TRIM(E658), 'Expense Category Mapping'!A:B, 2, FALSE), "Misc")</f>
        <v>Misc</v>
      </c>
    </row>
    <row r="659">
      <c r="G659" t="str">
        <f>IFERROR(VLOOKUP(TRIM(E659), 'Expense Category Mapping'!A:B, 2, FALSE), "Misc")</f>
        <v>Misc</v>
      </c>
    </row>
    <row r="660">
      <c r="G660" t="str">
        <f>IFERROR(VLOOKUP(TRIM(E660), 'Expense Category Mapping'!A:B, 2, FALSE), "Misc")</f>
        <v>Misc</v>
      </c>
    </row>
    <row r="661">
      <c r="G661" t="str">
        <f>IFERROR(VLOOKUP(TRIM(E661), 'Expense Category Mapping'!A:B, 2, FALSE), "Misc")</f>
        <v>Misc</v>
      </c>
    </row>
    <row r="662">
      <c r="G662" t="str">
        <f>IFERROR(VLOOKUP(TRIM(E662), 'Expense Category Mapping'!A:B, 2, FALSE), "Misc")</f>
        <v>Misc</v>
      </c>
    </row>
    <row r="663">
      <c r="G663" t="str">
        <f>IFERROR(VLOOKUP(TRIM(E663), 'Expense Category Mapping'!A:B, 2, FALSE), "Misc")</f>
        <v>Misc</v>
      </c>
    </row>
    <row r="664">
      <c r="G664" t="str">
        <f>IFERROR(VLOOKUP(TRIM(E664), 'Expense Category Mapping'!A:B, 2, FALSE), "Misc")</f>
        <v>Misc</v>
      </c>
    </row>
    <row r="665">
      <c r="G665" t="str">
        <f>IFERROR(VLOOKUP(TRIM(E665), 'Expense Category Mapping'!A:B, 2, FALSE), "Misc")</f>
        <v>Misc</v>
      </c>
    </row>
    <row r="666">
      <c r="G666" t="str">
        <f>IFERROR(VLOOKUP(TRIM(E666), 'Expense Category Mapping'!A:B, 2, FALSE), "Misc")</f>
        <v>Misc</v>
      </c>
    </row>
    <row r="667">
      <c r="G667" t="str">
        <f>IFERROR(VLOOKUP(TRIM(E667), 'Expense Category Mapping'!A:B, 2, FALSE), "Misc")</f>
        <v>Misc</v>
      </c>
    </row>
    <row r="668">
      <c r="G668" t="str">
        <f>IFERROR(VLOOKUP(TRIM(E668), 'Expense Category Mapping'!A:B, 2, FALSE), "Misc")</f>
        <v>Misc</v>
      </c>
    </row>
    <row r="669">
      <c r="G669" t="str">
        <f>IFERROR(VLOOKUP(TRIM(E669), 'Expense Category Mapping'!A:B, 2, FALSE), "Misc")</f>
        <v>Misc</v>
      </c>
    </row>
    <row r="670">
      <c r="G670" t="str">
        <f>IFERROR(VLOOKUP(TRIM(E670), 'Expense Category Mapping'!A:B, 2, FALSE), "Misc")</f>
        <v>Misc</v>
      </c>
    </row>
    <row r="671">
      <c r="G671" t="str">
        <f>IFERROR(VLOOKUP(TRIM(E671), 'Expense Category Mapping'!A:B, 2, FALSE), "Misc")</f>
        <v>Misc</v>
      </c>
    </row>
    <row r="672">
      <c r="G672" t="str">
        <f>IFERROR(VLOOKUP(TRIM(E672), 'Expense Category Mapping'!A:B, 2, FALSE), "Misc")</f>
        <v>Misc</v>
      </c>
    </row>
    <row r="673">
      <c r="G673" t="str">
        <f>IFERROR(VLOOKUP(TRIM(E673), 'Expense Category Mapping'!A:B, 2, FALSE), "Misc")</f>
        <v>Misc</v>
      </c>
    </row>
    <row r="674">
      <c r="G674" t="str">
        <f>IFERROR(VLOOKUP(TRIM(E674), 'Expense Category Mapping'!A:B, 2, FALSE), "Misc")</f>
        <v>Misc</v>
      </c>
    </row>
    <row r="675">
      <c r="G675" t="str">
        <f>IFERROR(VLOOKUP(TRIM(E675), 'Expense Category Mapping'!A:B, 2, FALSE), "Misc")</f>
        <v>Misc</v>
      </c>
    </row>
    <row r="676">
      <c r="G676" t="str">
        <f>IFERROR(VLOOKUP(TRIM(E676), 'Expense Category Mapping'!A:B, 2, FALSE), "Misc")</f>
        <v>Misc</v>
      </c>
    </row>
    <row r="677">
      <c r="G677" t="str">
        <f>IFERROR(VLOOKUP(TRIM(E677), 'Expense Category Mapping'!A:B, 2, FALSE), "Misc")</f>
        <v>Misc</v>
      </c>
    </row>
    <row r="678">
      <c r="G678" t="str">
        <f>IFERROR(VLOOKUP(TRIM(E678), 'Expense Category Mapping'!A:B, 2, FALSE), "Misc")</f>
        <v>Misc</v>
      </c>
    </row>
    <row r="679">
      <c r="G679" t="str">
        <f>IFERROR(VLOOKUP(TRIM(E679), 'Expense Category Mapping'!A:B, 2, FALSE), "Misc")</f>
        <v>Misc</v>
      </c>
    </row>
    <row r="680">
      <c r="G680" t="str">
        <f>IFERROR(VLOOKUP(TRIM(E680), 'Expense Category Mapping'!A:B, 2, FALSE), "Misc")</f>
        <v>Misc</v>
      </c>
    </row>
    <row r="681">
      <c r="G681" t="str">
        <f>IFERROR(VLOOKUP(TRIM(E681), 'Expense Category Mapping'!A:B, 2, FALSE), "Misc")</f>
        <v>Misc</v>
      </c>
    </row>
    <row r="682">
      <c r="G682" t="str">
        <f>IFERROR(VLOOKUP(TRIM(E682), 'Expense Category Mapping'!A:B, 2, FALSE), "Misc")</f>
        <v>Misc</v>
      </c>
    </row>
    <row r="683">
      <c r="G683" t="str">
        <f>IFERROR(VLOOKUP(TRIM(E683), 'Expense Category Mapping'!A:B, 2, FALSE), "Misc")</f>
        <v>Misc</v>
      </c>
    </row>
    <row r="684">
      <c r="G684" t="str">
        <f>IFERROR(VLOOKUP(TRIM(E684), 'Expense Category Mapping'!A:B, 2, FALSE), "Misc")</f>
        <v>Misc</v>
      </c>
    </row>
    <row r="685">
      <c r="G685" t="str">
        <f>IFERROR(VLOOKUP(TRIM(E685), 'Expense Category Mapping'!A:B, 2, FALSE), "Misc")</f>
        <v>Misc</v>
      </c>
    </row>
    <row r="686">
      <c r="G686" t="str">
        <f>IFERROR(VLOOKUP(TRIM(E686), 'Expense Category Mapping'!A:B, 2, FALSE), "Misc")</f>
        <v>Misc</v>
      </c>
    </row>
    <row r="687">
      <c r="G687" t="str">
        <f>IFERROR(VLOOKUP(TRIM(E687), 'Expense Category Mapping'!A:B, 2, FALSE), "Misc")</f>
        <v>Misc</v>
      </c>
    </row>
    <row r="688">
      <c r="G688" t="str">
        <f>IFERROR(VLOOKUP(TRIM(E688), 'Expense Category Mapping'!A:B, 2, FALSE), "Misc")</f>
        <v>Misc</v>
      </c>
    </row>
    <row r="689">
      <c r="G689" t="str">
        <f>IFERROR(VLOOKUP(TRIM(E689), 'Expense Category Mapping'!A:B, 2, FALSE), "Misc")</f>
        <v>Misc</v>
      </c>
    </row>
    <row r="690">
      <c r="G690" t="str">
        <f>IFERROR(VLOOKUP(TRIM(E690), 'Expense Category Mapping'!A:B, 2, FALSE), "Misc")</f>
        <v>Misc</v>
      </c>
    </row>
    <row r="691">
      <c r="G691" t="str">
        <f>IFERROR(VLOOKUP(TRIM(E691), 'Expense Category Mapping'!A:B, 2, FALSE), "Misc")</f>
        <v>Misc</v>
      </c>
    </row>
    <row r="692">
      <c r="G692" t="str">
        <f>IFERROR(VLOOKUP(TRIM(E692), 'Expense Category Mapping'!A:B, 2, FALSE), "Misc")</f>
        <v>Misc</v>
      </c>
    </row>
    <row r="693">
      <c r="G693" t="str">
        <f>IFERROR(VLOOKUP(TRIM(E693), 'Expense Category Mapping'!A:B, 2, FALSE), "Misc")</f>
        <v>Misc</v>
      </c>
    </row>
    <row r="694">
      <c r="G694" t="str">
        <f>IFERROR(VLOOKUP(TRIM(E694), 'Expense Category Mapping'!A:B, 2, FALSE), "Misc")</f>
        <v>Misc</v>
      </c>
    </row>
    <row r="695">
      <c r="G695" t="str">
        <f>IFERROR(VLOOKUP(TRIM(E695), 'Expense Category Mapping'!A:B, 2, FALSE), "Misc")</f>
        <v>Misc</v>
      </c>
    </row>
    <row r="696">
      <c r="G696" t="str">
        <f>IFERROR(VLOOKUP(TRIM(E696), 'Expense Category Mapping'!A:B, 2, FALSE), "Misc")</f>
        <v>Misc</v>
      </c>
    </row>
    <row r="697">
      <c r="G697" t="str">
        <f>IFERROR(VLOOKUP(TRIM(E697), 'Expense Category Mapping'!A:B, 2, FALSE), "Misc")</f>
        <v>Misc</v>
      </c>
    </row>
    <row r="698">
      <c r="G698" t="str">
        <f>IFERROR(VLOOKUP(TRIM(E698), 'Expense Category Mapping'!A:B, 2, FALSE), "Misc")</f>
        <v>Misc</v>
      </c>
    </row>
    <row r="699">
      <c r="G699" t="str">
        <f>IFERROR(VLOOKUP(TRIM(E699), 'Expense Category Mapping'!A:B, 2, FALSE), "Misc")</f>
        <v>Misc</v>
      </c>
    </row>
    <row r="700">
      <c r="G700" t="str">
        <f>IFERROR(VLOOKUP(TRIM(E700), 'Expense Category Mapping'!A:B, 2, FALSE), "Misc")</f>
        <v>Misc</v>
      </c>
    </row>
    <row r="701">
      <c r="G701" t="str">
        <f>IFERROR(VLOOKUP(TRIM(E701), 'Expense Category Mapping'!A:B, 2, FALSE), "Misc")</f>
        <v>Misc</v>
      </c>
    </row>
    <row r="702">
      <c r="G702" t="str">
        <f>IFERROR(VLOOKUP(TRIM(E702), 'Expense Category Mapping'!A:B, 2, FALSE), "Misc")</f>
        <v>Misc</v>
      </c>
    </row>
    <row r="703">
      <c r="G703" t="str">
        <f>IFERROR(VLOOKUP(TRIM(E703), 'Expense Category Mapping'!A:B, 2, FALSE), "Misc")</f>
        <v>Misc</v>
      </c>
    </row>
    <row r="704">
      <c r="G704" t="str">
        <f>IFERROR(VLOOKUP(TRIM(E704), 'Expense Category Mapping'!A:B, 2, FALSE), "Misc")</f>
        <v>Misc</v>
      </c>
    </row>
    <row r="705">
      <c r="G705" t="str">
        <f>IFERROR(VLOOKUP(TRIM(E705), 'Expense Category Mapping'!A:B, 2, FALSE), "Misc")</f>
        <v>Misc</v>
      </c>
    </row>
    <row r="706">
      <c r="G706" t="str">
        <f>IFERROR(VLOOKUP(TRIM(E706), 'Expense Category Mapping'!A:B, 2, FALSE), "Misc")</f>
        <v>Misc</v>
      </c>
    </row>
    <row r="707">
      <c r="G707" t="str">
        <f>IFERROR(VLOOKUP(TRIM(E707), 'Expense Category Mapping'!A:B, 2, FALSE), "Misc")</f>
        <v>Misc</v>
      </c>
    </row>
    <row r="708">
      <c r="G708" t="str">
        <f>IFERROR(VLOOKUP(TRIM(E708), 'Expense Category Mapping'!A:B, 2, FALSE), "Misc")</f>
        <v>Misc</v>
      </c>
    </row>
    <row r="709">
      <c r="G709" t="str">
        <f>IFERROR(VLOOKUP(TRIM(E709), 'Expense Category Mapping'!A:B, 2, FALSE), "Misc")</f>
        <v>Misc</v>
      </c>
    </row>
    <row r="710">
      <c r="G710" t="str">
        <f>IFERROR(VLOOKUP(TRIM(E710), 'Expense Category Mapping'!A:B, 2, FALSE), "Misc")</f>
        <v>Misc</v>
      </c>
    </row>
    <row r="711">
      <c r="G711" t="str">
        <f>IFERROR(VLOOKUP(TRIM(E711), 'Expense Category Mapping'!A:B, 2, FALSE), "Misc")</f>
        <v>Misc</v>
      </c>
    </row>
    <row r="712">
      <c r="G712" t="str">
        <f>IFERROR(VLOOKUP(TRIM(E712), 'Expense Category Mapping'!A:B, 2, FALSE), "Misc")</f>
        <v>Misc</v>
      </c>
    </row>
    <row r="713">
      <c r="G713" t="str">
        <f>IFERROR(VLOOKUP(TRIM(E713), 'Expense Category Mapping'!A:B, 2, FALSE), "Misc")</f>
        <v>Misc</v>
      </c>
    </row>
    <row r="714">
      <c r="G714" t="str">
        <f>IFERROR(VLOOKUP(TRIM(E714), 'Expense Category Mapping'!A:B, 2, FALSE), "Misc")</f>
        <v>Misc</v>
      </c>
    </row>
    <row r="715">
      <c r="G715" t="str">
        <f>IFERROR(VLOOKUP(TRIM(E715), 'Expense Category Mapping'!A:B, 2, FALSE), "Misc")</f>
        <v>Misc</v>
      </c>
    </row>
    <row r="716">
      <c r="G716" t="str">
        <f>IFERROR(VLOOKUP(TRIM(E716), 'Expense Category Mapping'!A:B, 2, FALSE), "Misc")</f>
        <v>Misc</v>
      </c>
    </row>
    <row r="717">
      <c r="G717" t="str">
        <f>IFERROR(VLOOKUP(TRIM(E717), 'Expense Category Mapping'!A:B, 2, FALSE), "Misc")</f>
        <v>Misc</v>
      </c>
    </row>
    <row r="718">
      <c r="G718" t="str">
        <f>IFERROR(VLOOKUP(TRIM(E718), 'Expense Category Mapping'!A:B, 2, FALSE), "Misc")</f>
        <v>Misc</v>
      </c>
    </row>
    <row r="719">
      <c r="G719" t="str">
        <f>IFERROR(VLOOKUP(TRIM(E719), 'Expense Category Mapping'!A:B, 2, FALSE), "Misc")</f>
        <v>Misc</v>
      </c>
    </row>
    <row r="720">
      <c r="G720" t="str">
        <f>IFERROR(VLOOKUP(TRIM(E720), 'Expense Category Mapping'!A:B, 2, FALSE), "Misc")</f>
        <v>Misc</v>
      </c>
    </row>
    <row r="721">
      <c r="G721" t="str">
        <f>IFERROR(VLOOKUP(TRIM(E721), 'Expense Category Mapping'!A:B, 2, FALSE), "Misc")</f>
        <v>Misc</v>
      </c>
    </row>
    <row r="722">
      <c r="G722" t="str">
        <f>IFERROR(VLOOKUP(TRIM(E722), 'Expense Category Mapping'!A:B, 2, FALSE), "Misc")</f>
        <v>Misc</v>
      </c>
    </row>
    <row r="723">
      <c r="G723" t="str">
        <f>IFERROR(VLOOKUP(TRIM(E723), 'Expense Category Mapping'!A:B, 2, FALSE), "Misc")</f>
        <v>Misc</v>
      </c>
    </row>
    <row r="724">
      <c r="G724" t="str">
        <f>IFERROR(VLOOKUP(TRIM(E724), 'Expense Category Mapping'!A:B, 2, FALSE), "Misc")</f>
        <v>Misc</v>
      </c>
    </row>
    <row r="725">
      <c r="G725" t="str">
        <f>IFERROR(VLOOKUP(TRIM(E725), 'Expense Category Mapping'!A:B, 2, FALSE), "Misc")</f>
        <v>Misc</v>
      </c>
    </row>
    <row r="726">
      <c r="G726" t="str">
        <f>IFERROR(VLOOKUP(TRIM(E726), 'Expense Category Mapping'!A:B, 2, FALSE), "Misc")</f>
        <v>Misc</v>
      </c>
    </row>
    <row r="727">
      <c r="G727" t="str">
        <f>IFERROR(VLOOKUP(TRIM(E727), 'Expense Category Mapping'!A:B, 2, FALSE), "Misc")</f>
        <v>Misc</v>
      </c>
    </row>
    <row r="728">
      <c r="G728" t="str">
        <f>IFERROR(VLOOKUP(TRIM(E728), 'Expense Category Mapping'!A:B, 2, FALSE), "Misc")</f>
        <v>Misc</v>
      </c>
    </row>
    <row r="729">
      <c r="G729" t="str">
        <f>IFERROR(VLOOKUP(TRIM(E729), 'Expense Category Mapping'!A:B, 2, FALSE), "Misc")</f>
        <v>Misc</v>
      </c>
    </row>
    <row r="730">
      <c r="G730" t="str">
        <f>IFERROR(VLOOKUP(TRIM(E730), 'Expense Category Mapping'!A:B, 2, FALSE), "Misc")</f>
        <v>Misc</v>
      </c>
    </row>
    <row r="731">
      <c r="G731" t="str">
        <f>IFERROR(VLOOKUP(TRIM(E731), 'Expense Category Mapping'!A:B, 2, FALSE), "Misc")</f>
        <v>Misc</v>
      </c>
    </row>
    <row r="732">
      <c r="G732" t="str">
        <f>IFERROR(VLOOKUP(TRIM(E732), 'Expense Category Mapping'!A:B, 2, FALSE), "Misc")</f>
        <v>Misc</v>
      </c>
    </row>
    <row r="733">
      <c r="G733" t="str">
        <f>IFERROR(VLOOKUP(TRIM(E733), 'Expense Category Mapping'!A:B, 2, FALSE), "Misc")</f>
        <v>Misc</v>
      </c>
    </row>
    <row r="734">
      <c r="G734" t="str">
        <f>IFERROR(VLOOKUP(TRIM(E734), 'Expense Category Mapping'!A:B, 2, FALSE), "Misc")</f>
        <v>Misc</v>
      </c>
    </row>
    <row r="735">
      <c r="G735" t="str">
        <f>IFERROR(VLOOKUP(TRIM(E735), 'Expense Category Mapping'!A:B, 2, FALSE), "Misc")</f>
        <v>Misc</v>
      </c>
    </row>
    <row r="736">
      <c r="G736" t="str">
        <f>IFERROR(VLOOKUP(TRIM(E736), 'Expense Category Mapping'!A:B, 2, FALSE), "Misc")</f>
        <v>Misc</v>
      </c>
    </row>
    <row r="737">
      <c r="G737" t="str">
        <f>IFERROR(VLOOKUP(TRIM(E737), 'Expense Category Mapping'!A:B, 2, FALSE), "Misc")</f>
        <v>Misc</v>
      </c>
    </row>
    <row r="738">
      <c r="G738" t="str">
        <f>IFERROR(VLOOKUP(TRIM(E738), 'Expense Category Mapping'!A:B, 2, FALSE), "Misc")</f>
        <v>Misc</v>
      </c>
    </row>
    <row r="739">
      <c r="G739" t="str">
        <f>IFERROR(VLOOKUP(TRIM(E739), 'Expense Category Mapping'!A:B, 2, FALSE), "Misc")</f>
        <v>Misc</v>
      </c>
    </row>
    <row r="740">
      <c r="G740" t="str">
        <f>IFERROR(VLOOKUP(TRIM(E740), 'Expense Category Mapping'!A:B, 2, FALSE), "Misc")</f>
        <v>Misc</v>
      </c>
    </row>
    <row r="741">
      <c r="G741" t="str">
        <f>IFERROR(VLOOKUP(TRIM(E741), 'Expense Category Mapping'!A:B, 2, FALSE), "Misc")</f>
        <v>Misc</v>
      </c>
    </row>
    <row r="742">
      <c r="G742" t="str">
        <f>IFERROR(VLOOKUP(TRIM(E742), 'Expense Category Mapping'!A:B, 2, FALSE), "Misc")</f>
        <v>Misc</v>
      </c>
    </row>
    <row r="743">
      <c r="G743" t="str">
        <f>IFERROR(VLOOKUP(TRIM(E743), 'Expense Category Mapping'!A:B, 2, FALSE), "Misc")</f>
        <v>Misc</v>
      </c>
    </row>
    <row r="744">
      <c r="G744" t="str">
        <f>IFERROR(VLOOKUP(TRIM(E744), 'Expense Category Mapping'!A:B, 2, FALSE), "Misc")</f>
        <v>Misc</v>
      </c>
    </row>
    <row r="745">
      <c r="G745" t="str">
        <f>IFERROR(VLOOKUP(TRIM(E745), 'Expense Category Mapping'!A:B, 2, FALSE), "Misc")</f>
        <v>Misc</v>
      </c>
    </row>
    <row r="746">
      <c r="G746" t="str">
        <f>IFERROR(VLOOKUP(TRIM(E746), 'Expense Category Mapping'!A:B, 2, FALSE), "Misc")</f>
        <v>Misc</v>
      </c>
    </row>
    <row r="747">
      <c r="G747" t="str">
        <f>IFERROR(VLOOKUP(TRIM(E747), 'Expense Category Mapping'!A:B, 2, FALSE), "Misc")</f>
        <v>Misc</v>
      </c>
    </row>
    <row r="748">
      <c r="G748" t="str">
        <f>IFERROR(VLOOKUP(TRIM(E748), 'Expense Category Mapping'!A:B, 2, FALSE), "Misc")</f>
        <v>Misc</v>
      </c>
    </row>
    <row r="749">
      <c r="G749" t="str">
        <f>IFERROR(VLOOKUP(TRIM(E749), 'Expense Category Mapping'!A:B, 2, FALSE), "Misc")</f>
        <v>Misc</v>
      </c>
    </row>
    <row r="750">
      <c r="G750" t="str">
        <f>IFERROR(VLOOKUP(TRIM(E750), 'Expense Category Mapping'!A:B, 2, FALSE), "Misc")</f>
        <v>Misc</v>
      </c>
    </row>
    <row r="751">
      <c r="G751" t="str">
        <f>IFERROR(VLOOKUP(TRIM(E751), 'Expense Category Mapping'!A:B, 2, FALSE), "Misc")</f>
        <v>Misc</v>
      </c>
    </row>
    <row r="752">
      <c r="G752" t="str">
        <f>IFERROR(VLOOKUP(TRIM(E752), 'Expense Category Mapping'!A:B, 2, FALSE), "Misc")</f>
        <v>Misc</v>
      </c>
    </row>
    <row r="753">
      <c r="G753" t="str">
        <f>IFERROR(VLOOKUP(TRIM(E753), 'Expense Category Mapping'!A:B, 2, FALSE), "Misc")</f>
        <v>Misc</v>
      </c>
    </row>
    <row r="754">
      <c r="G754" t="str">
        <f>IFERROR(VLOOKUP(TRIM(E754), 'Expense Category Mapping'!A:B, 2, FALSE), "Misc")</f>
        <v>Misc</v>
      </c>
    </row>
    <row r="755">
      <c r="G755" t="str">
        <f>IFERROR(VLOOKUP(TRIM(E755), 'Expense Category Mapping'!A:B, 2, FALSE), "Misc")</f>
        <v>Misc</v>
      </c>
    </row>
    <row r="756">
      <c r="G756" t="str">
        <f>IFERROR(VLOOKUP(TRIM(E756), 'Expense Category Mapping'!A:B, 2, FALSE), "Misc")</f>
        <v>Misc</v>
      </c>
    </row>
    <row r="757">
      <c r="G757" t="str">
        <f>IFERROR(VLOOKUP(TRIM(E757), 'Expense Category Mapping'!A:B, 2, FALSE), "Misc")</f>
        <v>Misc</v>
      </c>
    </row>
    <row r="758">
      <c r="G758" t="str">
        <f>IFERROR(VLOOKUP(TRIM(E758), 'Expense Category Mapping'!A:B, 2, FALSE), "Misc")</f>
        <v>Misc</v>
      </c>
    </row>
    <row r="759">
      <c r="G759" t="str">
        <f>IFERROR(VLOOKUP(TRIM(E759), 'Expense Category Mapping'!A:B, 2, FALSE), "Misc")</f>
        <v>Misc</v>
      </c>
    </row>
    <row r="760">
      <c r="G760" t="str">
        <f>IFERROR(VLOOKUP(TRIM(E760), 'Expense Category Mapping'!A:B, 2, FALSE), "Misc")</f>
        <v>Misc</v>
      </c>
    </row>
    <row r="761">
      <c r="G761" t="str">
        <f>IFERROR(VLOOKUP(TRIM(E761), 'Expense Category Mapping'!A:B, 2, FALSE), "Misc")</f>
        <v>Misc</v>
      </c>
    </row>
    <row r="762">
      <c r="G762" t="str">
        <f>IFERROR(VLOOKUP(TRIM(E762), 'Expense Category Mapping'!A:B, 2, FALSE), "Misc")</f>
        <v>Misc</v>
      </c>
    </row>
    <row r="763">
      <c r="G763" t="str">
        <f>IFERROR(VLOOKUP(TRIM(E763), 'Expense Category Mapping'!A:B, 2, FALSE), "Misc")</f>
        <v>Misc</v>
      </c>
    </row>
    <row r="764">
      <c r="G764" t="str">
        <f>IFERROR(VLOOKUP(TRIM(E764), 'Expense Category Mapping'!A:B, 2, FALSE), "Misc")</f>
        <v>Misc</v>
      </c>
    </row>
    <row r="765">
      <c r="G765" t="str">
        <f>IFERROR(VLOOKUP(TRIM(E765), 'Expense Category Mapping'!A:B, 2, FALSE), "Misc")</f>
        <v>Misc</v>
      </c>
    </row>
    <row r="766">
      <c r="G766" t="str">
        <f>IFERROR(VLOOKUP(TRIM(E766), 'Expense Category Mapping'!A:B, 2, FALSE), "Misc")</f>
        <v>Misc</v>
      </c>
    </row>
    <row r="767">
      <c r="G767" t="str">
        <f>IFERROR(VLOOKUP(TRIM(E767), 'Expense Category Mapping'!A:B, 2, FALSE), "Misc")</f>
        <v>Misc</v>
      </c>
    </row>
    <row r="768">
      <c r="G768" t="str">
        <f>IFERROR(VLOOKUP(TRIM(E768), 'Expense Category Mapping'!A:B, 2, FALSE), "Misc")</f>
        <v>Misc</v>
      </c>
    </row>
    <row r="769">
      <c r="G769" t="str">
        <f>IFERROR(VLOOKUP(TRIM(E769), 'Expense Category Mapping'!A:B, 2, FALSE), "Misc")</f>
        <v>Misc</v>
      </c>
    </row>
    <row r="770">
      <c r="G770" t="str">
        <f>IFERROR(VLOOKUP(TRIM(E770), 'Expense Category Mapping'!A:B, 2, FALSE), "Misc")</f>
        <v>Misc</v>
      </c>
    </row>
    <row r="771">
      <c r="G771" t="str">
        <f>IFERROR(VLOOKUP(TRIM(E771), 'Expense Category Mapping'!A:B, 2, FALSE), "Misc")</f>
        <v>Misc</v>
      </c>
    </row>
    <row r="772">
      <c r="G772" t="str">
        <f>IFERROR(VLOOKUP(TRIM(E772), 'Expense Category Mapping'!A:B, 2, FALSE), "Misc")</f>
        <v>Misc</v>
      </c>
    </row>
    <row r="773">
      <c r="G773" t="str">
        <f>IFERROR(VLOOKUP(TRIM(E773), 'Expense Category Mapping'!A:B, 2, FALSE), "Misc")</f>
        <v>Misc</v>
      </c>
    </row>
    <row r="774">
      <c r="G774" t="str">
        <f>IFERROR(VLOOKUP(TRIM(E774), 'Expense Category Mapping'!A:B, 2, FALSE), "Misc")</f>
        <v>Misc</v>
      </c>
    </row>
    <row r="775">
      <c r="G775" t="str">
        <f>IFERROR(VLOOKUP(TRIM(E775), 'Expense Category Mapping'!A:B, 2, FALSE), "Misc")</f>
        <v>Misc</v>
      </c>
    </row>
    <row r="776">
      <c r="G776" t="str">
        <f>IFERROR(VLOOKUP(TRIM(E776), 'Expense Category Mapping'!A:B, 2, FALSE), "Misc")</f>
        <v>Misc</v>
      </c>
    </row>
    <row r="777">
      <c r="G777" t="str">
        <f>IFERROR(VLOOKUP(TRIM(E777), 'Expense Category Mapping'!A:B, 2, FALSE), "Misc")</f>
        <v>Misc</v>
      </c>
    </row>
    <row r="778">
      <c r="G778" t="str">
        <f>IFERROR(VLOOKUP(TRIM(E778), 'Expense Category Mapping'!A:B, 2, FALSE), "Misc")</f>
        <v>Misc</v>
      </c>
    </row>
    <row r="779">
      <c r="G779" t="str">
        <f>IFERROR(VLOOKUP(TRIM(E779), 'Expense Category Mapping'!A:B, 2, FALSE), "Misc")</f>
        <v>Misc</v>
      </c>
    </row>
    <row r="780">
      <c r="G780" t="str">
        <f>IFERROR(VLOOKUP(TRIM(E780), 'Expense Category Mapping'!A:B, 2, FALSE), "Misc")</f>
        <v>Misc</v>
      </c>
    </row>
    <row r="781">
      <c r="G781" t="str">
        <f>IFERROR(VLOOKUP(TRIM(E781), 'Expense Category Mapping'!A:B, 2, FALSE), "Misc")</f>
        <v>Misc</v>
      </c>
    </row>
    <row r="782">
      <c r="G782" t="str">
        <f>IFERROR(VLOOKUP(TRIM(E782), 'Expense Category Mapping'!A:B, 2, FALSE), "Misc")</f>
        <v>Misc</v>
      </c>
    </row>
    <row r="783">
      <c r="G783" t="str">
        <f>IFERROR(VLOOKUP(TRIM(E783), 'Expense Category Mapping'!A:B, 2, FALSE), "Misc")</f>
        <v>Misc</v>
      </c>
    </row>
    <row r="784">
      <c r="G784" t="str">
        <f>IFERROR(VLOOKUP(TRIM(E784), 'Expense Category Mapping'!A:B, 2, FALSE), "Misc")</f>
        <v>Misc</v>
      </c>
    </row>
    <row r="785">
      <c r="G785" t="str">
        <f>IFERROR(VLOOKUP(TRIM(E785), 'Expense Category Mapping'!A:B, 2, FALSE), "Misc")</f>
        <v>Misc</v>
      </c>
    </row>
    <row r="786">
      <c r="G786" t="str">
        <f>IFERROR(VLOOKUP(TRIM(E786), 'Expense Category Mapping'!A:B, 2, FALSE), "Misc")</f>
        <v>Misc</v>
      </c>
    </row>
    <row r="787">
      <c r="G787" t="str">
        <f>IFERROR(VLOOKUP(TRIM(E787), 'Expense Category Mapping'!A:B, 2, FALSE), "Misc")</f>
        <v>Misc</v>
      </c>
    </row>
    <row r="788">
      <c r="G788" t="str">
        <f>IFERROR(VLOOKUP(TRIM(E788), 'Expense Category Mapping'!A:B, 2, FALSE), "Misc")</f>
        <v>Misc</v>
      </c>
    </row>
    <row r="789">
      <c r="G789" t="str">
        <f>IFERROR(VLOOKUP(TRIM(E789), 'Expense Category Mapping'!A:B, 2, FALSE), "Misc")</f>
        <v>Misc</v>
      </c>
    </row>
    <row r="790">
      <c r="G790" t="str">
        <f>IFERROR(VLOOKUP(TRIM(E790), 'Expense Category Mapping'!A:B, 2, FALSE), "Misc")</f>
        <v>Misc</v>
      </c>
    </row>
    <row r="791">
      <c r="G791" t="str">
        <f>IFERROR(VLOOKUP(TRIM(E791), 'Expense Category Mapping'!A:B, 2, FALSE), "Misc")</f>
        <v>Misc</v>
      </c>
    </row>
    <row r="792">
      <c r="G792" t="str">
        <f>IFERROR(VLOOKUP(TRIM(E792), 'Expense Category Mapping'!A:B, 2, FALSE), "Misc")</f>
        <v>Misc</v>
      </c>
    </row>
    <row r="793">
      <c r="G793" t="str">
        <f>IFERROR(VLOOKUP(TRIM(E793), 'Expense Category Mapping'!A:B, 2, FALSE), "Misc")</f>
        <v>Misc</v>
      </c>
    </row>
    <row r="794">
      <c r="G794" t="str">
        <f>IFERROR(VLOOKUP(TRIM(E794), 'Expense Category Mapping'!A:B, 2, FALSE), "Misc")</f>
        <v>Misc</v>
      </c>
    </row>
    <row r="795">
      <c r="G795" t="str">
        <f>IFERROR(VLOOKUP(TRIM(E795), 'Expense Category Mapping'!A:B, 2, FALSE), "Misc")</f>
        <v>Misc</v>
      </c>
    </row>
    <row r="796">
      <c r="G796" t="str">
        <f>IFERROR(VLOOKUP(TRIM(E796), 'Expense Category Mapping'!A:B, 2, FALSE), "Misc")</f>
        <v>Misc</v>
      </c>
    </row>
    <row r="797">
      <c r="G797" t="str">
        <f>IFERROR(VLOOKUP(TRIM(E797), 'Expense Category Mapping'!A:B, 2, FALSE), "Misc")</f>
        <v>Misc</v>
      </c>
    </row>
    <row r="798">
      <c r="G798" t="str">
        <f>IFERROR(VLOOKUP(TRIM(E798), 'Expense Category Mapping'!A:B, 2, FALSE), "Misc")</f>
        <v>Misc</v>
      </c>
    </row>
    <row r="799">
      <c r="G799" t="str">
        <f>IFERROR(VLOOKUP(TRIM(E799), 'Expense Category Mapping'!A:B, 2, FALSE), "Misc")</f>
        <v>Misc</v>
      </c>
    </row>
    <row r="800">
      <c r="G800" t="str">
        <f>IFERROR(VLOOKUP(TRIM(E800), 'Expense Category Mapping'!A:B, 2, FALSE), "Misc")</f>
        <v>Misc</v>
      </c>
    </row>
    <row r="801">
      <c r="G801" t="str">
        <f>IFERROR(VLOOKUP(TRIM(E801), 'Expense Category Mapping'!A:B, 2, FALSE), "Misc")</f>
        <v>Misc</v>
      </c>
    </row>
    <row r="802">
      <c r="G802" t="str">
        <f>IFERROR(VLOOKUP(TRIM(E802), 'Expense Category Mapping'!A:B, 2, FALSE), "Misc")</f>
        <v>Misc</v>
      </c>
    </row>
    <row r="803">
      <c r="G803" t="str">
        <f>IFERROR(VLOOKUP(TRIM(E803), 'Expense Category Mapping'!A:B, 2, FALSE), "Misc")</f>
        <v>Misc</v>
      </c>
    </row>
    <row r="804">
      <c r="G804" t="str">
        <f>IFERROR(VLOOKUP(TRIM(E804), 'Expense Category Mapping'!A:B, 2, FALSE), "Misc")</f>
        <v>Misc</v>
      </c>
    </row>
    <row r="805">
      <c r="G805" t="str">
        <f>IFERROR(VLOOKUP(TRIM(E805), 'Expense Category Mapping'!A:B, 2, FALSE), "Misc")</f>
        <v>Misc</v>
      </c>
    </row>
    <row r="806">
      <c r="G806" t="str">
        <f>IFERROR(VLOOKUP(TRIM(E806), 'Expense Category Mapping'!A:B, 2, FALSE), "Misc")</f>
        <v>Misc</v>
      </c>
    </row>
    <row r="807">
      <c r="G807" t="str">
        <f>IFERROR(VLOOKUP(TRIM(E807), 'Expense Category Mapping'!A:B, 2, FALSE), "Misc")</f>
        <v>Misc</v>
      </c>
    </row>
    <row r="808">
      <c r="G808" t="str">
        <f>IFERROR(VLOOKUP(TRIM(E808), 'Expense Category Mapping'!A:B, 2, FALSE), "Misc")</f>
        <v>Misc</v>
      </c>
    </row>
    <row r="809">
      <c r="G809" t="str">
        <f>IFERROR(VLOOKUP(TRIM(E809), 'Expense Category Mapping'!A:B, 2, FALSE), "Misc")</f>
        <v>Misc</v>
      </c>
    </row>
    <row r="810">
      <c r="G810" t="str">
        <f>IFERROR(VLOOKUP(TRIM(E810), 'Expense Category Mapping'!A:B, 2, FALSE), "Misc")</f>
        <v>Misc</v>
      </c>
    </row>
    <row r="811">
      <c r="G811" t="str">
        <f>IFERROR(VLOOKUP(TRIM(E811), 'Expense Category Mapping'!A:B, 2, FALSE), "Misc")</f>
        <v>Misc</v>
      </c>
    </row>
    <row r="812">
      <c r="G812" t="str">
        <f>IFERROR(VLOOKUP(TRIM(E812), 'Expense Category Mapping'!A:B, 2, FALSE), "Misc")</f>
        <v>Misc</v>
      </c>
    </row>
    <row r="813">
      <c r="G813" t="str">
        <f>IFERROR(VLOOKUP(TRIM(E813), 'Expense Category Mapping'!A:B, 2, FALSE), "Misc")</f>
        <v>Misc</v>
      </c>
    </row>
    <row r="814">
      <c r="G814" t="str">
        <f>IFERROR(VLOOKUP(TRIM(E814), 'Expense Category Mapping'!A:B, 2, FALSE), "Misc")</f>
        <v>Misc</v>
      </c>
    </row>
    <row r="815">
      <c r="G815" t="str">
        <f>IFERROR(VLOOKUP(TRIM(E815), 'Expense Category Mapping'!A:B, 2, FALSE), "Misc")</f>
        <v>Misc</v>
      </c>
    </row>
    <row r="816">
      <c r="G816" t="str">
        <f>IFERROR(VLOOKUP(TRIM(E816), 'Expense Category Mapping'!A:B, 2, FALSE), "Misc")</f>
        <v>Misc</v>
      </c>
    </row>
    <row r="817">
      <c r="G817" t="str">
        <f>IFERROR(VLOOKUP(TRIM(E817), 'Expense Category Mapping'!A:B, 2, FALSE), "Misc")</f>
        <v>Misc</v>
      </c>
    </row>
    <row r="818">
      <c r="G818" t="str">
        <f>IFERROR(VLOOKUP(TRIM(E818), 'Expense Category Mapping'!A:B, 2, FALSE), "Misc")</f>
        <v>Misc</v>
      </c>
    </row>
    <row r="819">
      <c r="G819" t="str">
        <f>IFERROR(VLOOKUP(TRIM(E819), 'Expense Category Mapping'!A:B, 2, FALSE), "Misc")</f>
        <v>Misc</v>
      </c>
    </row>
    <row r="820">
      <c r="G820" t="str">
        <f>IFERROR(VLOOKUP(TRIM(E820), 'Expense Category Mapping'!A:B, 2, FALSE), "Misc")</f>
        <v>Misc</v>
      </c>
    </row>
    <row r="821">
      <c r="G821" t="str">
        <f>IFERROR(VLOOKUP(TRIM(E821), 'Expense Category Mapping'!A:B, 2, FALSE), "Misc")</f>
        <v>Misc</v>
      </c>
    </row>
    <row r="822">
      <c r="G822" t="str">
        <f>IFERROR(VLOOKUP(TRIM(E822), 'Expense Category Mapping'!A:B, 2, FALSE), "Misc")</f>
        <v>Misc</v>
      </c>
    </row>
    <row r="823">
      <c r="G823" t="str">
        <f>IFERROR(VLOOKUP(TRIM(E823), 'Expense Category Mapping'!A:B, 2, FALSE), "Misc")</f>
        <v>Misc</v>
      </c>
    </row>
    <row r="824">
      <c r="G824" t="str">
        <f>IFERROR(VLOOKUP(TRIM(E824), 'Expense Category Mapping'!A:B, 2, FALSE), "Misc")</f>
        <v>Misc</v>
      </c>
    </row>
    <row r="825">
      <c r="G825" t="str">
        <f>IFERROR(VLOOKUP(TRIM(E825), 'Expense Category Mapping'!A:B, 2, FALSE), "Misc")</f>
        <v>Misc</v>
      </c>
    </row>
    <row r="826">
      <c r="G826" t="str">
        <f>IFERROR(VLOOKUP(TRIM(E826), 'Expense Category Mapping'!A:B, 2, FALSE), "Misc")</f>
        <v>Misc</v>
      </c>
    </row>
    <row r="827">
      <c r="G827" t="str">
        <f>IFERROR(VLOOKUP(TRIM(E827), 'Expense Category Mapping'!A:B, 2, FALSE), "Misc")</f>
        <v>Misc</v>
      </c>
    </row>
    <row r="828">
      <c r="G828" t="str">
        <f>IFERROR(VLOOKUP(TRIM(E828), 'Expense Category Mapping'!A:B, 2, FALSE), "Misc")</f>
        <v>Misc</v>
      </c>
    </row>
    <row r="829">
      <c r="G829" t="str">
        <f>IFERROR(VLOOKUP(TRIM(E829), 'Expense Category Mapping'!A:B, 2, FALSE), "Misc")</f>
        <v>Misc</v>
      </c>
    </row>
    <row r="830">
      <c r="G830" t="str">
        <f>IFERROR(VLOOKUP(TRIM(E830), 'Expense Category Mapping'!A:B, 2, FALSE), "Misc")</f>
        <v>Misc</v>
      </c>
    </row>
    <row r="831">
      <c r="G831" t="str">
        <f>IFERROR(VLOOKUP(TRIM(E831), 'Expense Category Mapping'!A:B, 2, FALSE), "Misc")</f>
        <v>Misc</v>
      </c>
    </row>
    <row r="832">
      <c r="G832" t="str">
        <f>IFERROR(VLOOKUP(TRIM(E832), 'Expense Category Mapping'!A:B, 2, FALSE), "Misc")</f>
        <v>Misc</v>
      </c>
    </row>
    <row r="833">
      <c r="G833" t="str">
        <f>IFERROR(VLOOKUP(TRIM(E833), 'Expense Category Mapping'!A:B, 2, FALSE), "Misc")</f>
        <v>Misc</v>
      </c>
    </row>
    <row r="834">
      <c r="G834" t="str">
        <f>IFERROR(VLOOKUP(TRIM(E834), 'Expense Category Mapping'!A:B, 2, FALSE), "Misc")</f>
        <v>Misc</v>
      </c>
    </row>
    <row r="835">
      <c r="G835" t="str">
        <f>IFERROR(VLOOKUP(TRIM(E835), 'Expense Category Mapping'!A:B, 2, FALSE), "Misc")</f>
        <v>Misc</v>
      </c>
    </row>
    <row r="836">
      <c r="G836" t="str">
        <f>IFERROR(VLOOKUP(TRIM(E836), 'Expense Category Mapping'!A:B, 2, FALSE), "Misc")</f>
        <v>Misc</v>
      </c>
    </row>
    <row r="837">
      <c r="G837" t="str">
        <f>IFERROR(VLOOKUP(TRIM(E837), 'Expense Category Mapping'!A:B, 2, FALSE), "Misc")</f>
        <v>Misc</v>
      </c>
    </row>
    <row r="838">
      <c r="G838" t="str">
        <f>IFERROR(VLOOKUP(TRIM(E838), 'Expense Category Mapping'!A:B, 2, FALSE), "Misc")</f>
        <v>Misc</v>
      </c>
    </row>
    <row r="839">
      <c r="G839" t="str">
        <f>IFERROR(VLOOKUP(TRIM(E839), 'Expense Category Mapping'!A:B, 2, FALSE), "Misc")</f>
        <v>Misc</v>
      </c>
    </row>
    <row r="840">
      <c r="G840" t="str">
        <f>IFERROR(VLOOKUP(TRIM(E840), 'Expense Category Mapping'!A:B, 2, FALSE), "Misc")</f>
        <v>Misc</v>
      </c>
    </row>
    <row r="841">
      <c r="G841" t="str">
        <f>IFERROR(VLOOKUP(TRIM(E841), 'Expense Category Mapping'!A:B, 2, FALSE), "Misc")</f>
        <v>Misc</v>
      </c>
    </row>
    <row r="842">
      <c r="G842" t="str">
        <f>IFERROR(VLOOKUP(TRIM(E842), 'Expense Category Mapping'!A:B, 2, FALSE), "Misc")</f>
        <v>Misc</v>
      </c>
    </row>
    <row r="843">
      <c r="G843" t="str">
        <f>IFERROR(VLOOKUP(TRIM(E843), 'Expense Category Mapping'!A:B, 2, FALSE), "Misc")</f>
        <v>Misc</v>
      </c>
    </row>
    <row r="844">
      <c r="G844" t="str">
        <f>IFERROR(VLOOKUP(TRIM(E844), 'Expense Category Mapping'!A:B, 2, FALSE), "Misc")</f>
        <v>Misc</v>
      </c>
    </row>
    <row r="845">
      <c r="G845" t="str">
        <f>IFERROR(VLOOKUP(TRIM(E845), 'Expense Category Mapping'!A:B, 2, FALSE), "Misc")</f>
        <v>Misc</v>
      </c>
    </row>
    <row r="846">
      <c r="G846" t="str">
        <f>IFERROR(VLOOKUP(TRIM(E846), 'Expense Category Mapping'!A:B, 2, FALSE), "Misc")</f>
        <v>Misc</v>
      </c>
    </row>
    <row r="847">
      <c r="G847" t="str">
        <f>IFERROR(VLOOKUP(TRIM(E847), 'Expense Category Mapping'!A:B, 2, FALSE), "Misc")</f>
        <v>Misc</v>
      </c>
    </row>
    <row r="848">
      <c r="G848" t="str">
        <f>IFERROR(VLOOKUP(TRIM(E848), 'Expense Category Mapping'!A:B, 2, FALSE), "Misc")</f>
        <v>Misc</v>
      </c>
    </row>
    <row r="849">
      <c r="G849" t="str">
        <f>IFERROR(VLOOKUP(TRIM(E849), 'Expense Category Mapping'!A:B, 2, FALSE), "Misc")</f>
        <v>Misc</v>
      </c>
    </row>
    <row r="850">
      <c r="G850" t="str">
        <f>IFERROR(VLOOKUP(TRIM(E850), 'Expense Category Mapping'!A:B, 2, FALSE), "Misc")</f>
        <v>Misc</v>
      </c>
    </row>
    <row r="851">
      <c r="G851" t="str">
        <f>IFERROR(VLOOKUP(TRIM(E851), 'Expense Category Mapping'!A:B, 2, FALSE), "Misc")</f>
        <v>Misc</v>
      </c>
    </row>
    <row r="852">
      <c r="G852" t="str">
        <f>IFERROR(VLOOKUP(TRIM(E852), 'Expense Category Mapping'!A:B, 2, FALSE), "Misc")</f>
        <v>Misc</v>
      </c>
    </row>
    <row r="853">
      <c r="G853" t="str">
        <f>IFERROR(VLOOKUP(TRIM(E853), 'Expense Category Mapping'!A:B, 2, FALSE), "Misc")</f>
        <v>Misc</v>
      </c>
    </row>
    <row r="854">
      <c r="G854" t="str">
        <f>IFERROR(VLOOKUP(TRIM(E854), 'Expense Category Mapping'!A:B, 2, FALSE), "Misc")</f>
        <v>Misc</v>
      </c>
    </row>
    <row r="855">
      <c r="G855" t="str">
        <f>IFERROR(VLOOKUP(TRIM(E855), 'Expense Category Mapping'!A:B, 2, FALSE), "Misc")</f>
        <v>Misc</v>
      </c>
    </row>
    <row r="856">
      <c r="G856" t="str">
        <f>IFERROR(VLOOKUP(TRIM(E856), 'Expense Category Mapping'!A:B, 2, FALSE), "Misc")</f>
        <v>Misc</v>
      </c>
    </row>
    <row r="857">
      <c r="G857" t="str">
        <f>IFERROR(VLOOKUP(TRIM(E857), 'Expense Category Mapping'!A:B, 2, FALSE), "Misc")</f>
        <v>Misc</v>
      </c>
    </row>
    <row r="858">
      <c r="G858" t="str">
        <f>IFERROR(VLOOKUP(TRIM(E858), 'Expense Category Mapping'!A:B, 2, FALSE), "Misc")</f>
        <v>Misc</v>
      </c>
    </row>
    <row r="859">
      <c r="G859" t="str">
        <f>IFERROR(VLOOKUP(TRIM(E859), 'Expense Category Mapping'!A:B, 2, FALSE), "Misc")</f>
        <v>Misc</v>
      </c>
    </row>
    <row r="860">
      <c r="G860" t="str">
        <f>IFERROR(VLOOKUP(TRIM(E860), 'Expense Category Mapping'!A:B, 2, FALSE), "Misc")</f>
        <v>Misc</v>
      </c>
    </row>
    <row r="861">
      <c r="G861" t="str">
        <f>IFERROR(VLOOKUP(TRIM(E861), 'Expense Category Mapping'!A:B, 2, FALSE), "Misc")</f>
        <v>Misc</v>
      </c>
    </row>
    <row r="862">
      <c r="G862" t="str">
        <f>IFERROR(VLOOKUP(TRIM(E862), 'Expense Category Mapping'!A:B, 2, FALSE), "Misc")</f>
        <v>Misc</v>
      </c>
    </row>
    <row r="863">
      <c r="G863" t="str">
        <f>IFERROR(VLOOKUP(TRIM(E863), 'Expense Category Mapping'!A:B, 2, FALSE), "Misc")</f>
        <v>Misc</v>
      </c>
    </row>
    <row r="864">
      <c r="G864" t="str">
        <f>IFERROR(VLOOKUP(TRIM(E864), 'Expense Category Mapping'!A:B, 2, FALSE), "Misc")</f>
        <v>Misc</v>
      </c>
    </row>
    <row r="865">
      <c r="G865" t="str">
        <f>IFERROR(VLOOKUP(TRIM(E865), 'Expense Category Mapping'!A:B, 2, FALSE), "Misc")</f>
        <v>Misc</v>
      </c>
    </row>
    <row r="866">
      <c r="G866" t="str">
        <f>IFERROR(VLOOKUP(TRIM(E866), 'Expense Category Mapping'!A:B, 2, FALSE), "Misc")</f>
        <v>Misc</v>
      </c>
    </row>
    <row r="867">
      <c r="G867" t="str">
        <f>IFERROR(VLOOKUP(TRIM(E867), 'Expense Category Mapping'!A:B, 2, FALSE), "Misc")</f>
        <v>Misc</v>
      </c>
    </row>
    <row r="868">
      <c r="G868" t="str">
        <f>IFERROR(VLOOKUP(TRIM(E868), 'Expense Category Mapping'!A:B, 2, FALSE), "Misc")</f>
        <v>Misc</v>
      </c>
    </row>
    <row r="869">
      <c r="G869" t="str">
        <f>IFERROR(VLOOKUP(TRIM(E869), 'Expense Category Mapping'!A:B, 2, FALSE), "Misc")</f>
        <v>Misc</v>
      </c>
    </row>
    <row r="870">
      <c r="G870" t="str">
        <f>IFERROR(VLOOKUP(TRIM(E870), 'Expense Category Mapping'!A:B, 2, FALSE), "Misc")</f>
        <v>Misc</v>
      </c>
    </row>
    <row r="871">
      <c r="G871" t="str">
        <f>IFERROR(VLOOKUP(TRIM(E871), 'Expense Category Mapping'!A:B, 2, FALSE), "Misc")</f>
        <v>Misc</v>
      </c>
    </row>
    <row r="872">
      <c r="G872" t="str">
        <f>IFERROR(VLOOKUP(TRIM(E872), 'Expense Category Mapping'!A:B, 2, FALSE), "Misc")</f>
        <v>Misc</v>
      </c>
    </row>
    <row r="873">
      <c r="G873" t="str">
        <f>IFERROR(VLOOKUP(TRIM(E873), 'Expense Category Mapping'!A:B, 2, FALSE), "Misc")</f>
        <v>Misc</v>
      </c>
    </row>
    <row r="874">
      <c r="G874" t="str">
        <f>IFERROR(VLOOKUP(TRIM(E874), 'Expense Category Mapping'!A:B, 2, FALSE), "Misc")</f>
        <v>Misc</v>
      </c>
    </row>
    <row r="875">
      <c r="G875" t="str">
        <f>IFERROR(VLOOKUP(TRIM(E875), 'Expense Category Mapping'!A:B, 2, FALSE), "Misc")</f>
        <v>Misc</v>
      </c>
    </row>
    <row r="876">
      <c r="G876" t="str">
        <f>IFERROR(VLOOKUP(TRIM(E876), 'Expense Category Mapping'!A:B, 2, FALSE), "Misc")</f>
        <v>Misc</v>
      </c>
    </row>
    <row r="877">
      <c r="G877" t="str">
        <f>IFERROR(VLOOKUP(TRIM(E877), 'Expense Category Mapping'!A:B, 2, FALSE), "Misc")</f>
        <v>Misc</v>
      </c>
    </row>
    <row r="878">
      <c r="G878" t="str">
        <f>IFERROR(VLOOKUP(TRIM(E878), 'Expense Category Mapping'!A:B, 2, FALSE), "Misc")</f>
        <v>Misc</v>
      </c>
    </row>
    <row r="879">
      <c r="G879" t="str">
        <f>IFERROR(VLOOKUP(TRIM(E879), 'Expense Category Mapping'!A:B, 2, FALSE), "Misc")</f>
        <v>Misc</v>
      </c>
    </row>
    <row r="880">
      <c r="G880" t="str">
        <f>IFERROR(VLOOKUP(TRIM(E880), 'Expense Category Mapping'!A:B, 2, FALSE), "Misc")</f>
        <v>Misc</v>
      </c>
    </row>
    <row r="881">
      <c r="G881" t="str">
        <f>IFERROR(VLOOKUP(TRIM(E881), 'Expense Category Mapping'!A:B, 2, FALSE), "Misc")</f>
        <v>Misc</v>
      </c>
    </row>
    <row r="882">
      <c r="G882" t="str">
        <f>IFERROR(VLOOKUP(TRIM(E882), 'Expense Category Mapping'!A:B, 2, FALSE), "Misc")</f>
        <v>Misc</v>
      </c>
    </row>
    <row r="883">
      <c r="G883" t="str">
        <f>IFERROR(VLOOKUP(TRIM(E883), 'Expense Category Mapping'!A:B, 2, FALSE), "Misc")</f>
        <v>Misc</v>
      </c>
    </row>
    <row r="884">
      <c r="G884" t="str">
        <f>IFERROR(VLOOKUP(TRIM(E884), 'Expense Category Mapping'!A:B, 2, FALSE), "Misc")</f>
        <v>Misc</v>
      </c>
    </row>
    <row r="885">
      <c r="G885" t="str">
        <f>IFERROR(VLOOKUP(TRIM(E885), 'Expense Category Mapping'!A:B, 2, FALSE), "Misc")</f>
        <v>Misc</v>
      </c>
    </row>
    <row r="886">
      <c r="G886" t="str">
        <f>IFERROR(VLOOKUP(TRIM(E886), 'Expense Category Mapping'!A:B, 2, FALSE), "Misc")</f>
        <v>Misc</v>
      </c>
    </row>
    <row r="887">
      <c r="G887" t="str">
        <f>IFERROR(VLOOKUP(TRIM(E887), 'Expense Category Mapping'!A:B, 2, FALSE), "Misc")</f>
        <v>Misc</v>
      </c>
    </row>
    <row r="888">
      <c r="G888" t="str">
        <f>IFERROR(VLOOKUP(TRIM(E888), 'Expense Category Mapping'!A:B, 2, FALSE), "Misc")</f>
        <v>Misc</v>
      </c>
    </row>
    <row r="889">
      <c r="G889" t="str">
        <f>IFERROR(VLOOKUP(TRIM(E889), 'Expense Category Mapping'!A:B, 2, FALSE), "Misc")</f>
        <v>Misc</v>
      </c>
    </row>
    <row r="890">
      <c r="G890" t="str">
        <f>IFERROR(VLOOKUP(TRIM(E890), 'Expense Category Mapping'!A:B, 2, FALSE), "Misc")</f>
        <v>Misc</v>
      </c>
    </row>
    <row r="891">
      <c r="G891" t="str">
        <f>IFERROR(VLOOKUP(TRIM(E891), 'Expense Category Mapping'!A:B, 2, FALSE), "Misc")</f>
        <v>Misc</v>
      </c>
    </row>
    <row r="892">
      <c r="G892" t="str">
        <f>IFERROR(VLOOKUP(TRIM(E892), 'Expense Category Mapping'!A:B, 2, FALSE), "Misc")</f>
        <v>Misc</v>
      </c>
    </row>
    <row r="893">
      <c r="G893" t="str">
        <f>IFERROR(VLOOKUP(TRIM(E893), 'Expense Category Mapping'!A:B, 2, FALSE), "Misc")</f>
        <v>Misc</v>
      </c>
    </row>
    <row r="894">
      <c r="G894" t="str">
        <f>IFERROR(VLOOKUP(TRIM(E894), 'Expense Category Mapping'!A:B, 2, FALSE), "Misc")</f>
        <v>Misc</v>
      </c>
    </row>
    <row r="895">
      <c r="G895" t="str">
        <f>IFERROR(VLOOKUP(TRIM(E895), 'Expense Category Mapping'!A:B, 2, FALSE), "Misc")</f>
        <v>Misc</v>
      </c>
    </row>
    <row r="896">
      <c r="G896" t="str">
        <f>IFERROR(VLOOKUP(TRIM(E896), 'Expense Category Mapping'!A:B, 2, FALSE), "Misc")</f>
        <v>Misc</v>
      </c>
    </row>
    <row r="897">
      <c r="G897" t="str">
        <f>IFERROR(VLOOKUP(TRIM(E897), 'Expense Category Mapping'!A:B, 2, FALSE), "Misc")</f>
        <v>Misc</v>
      </c>
    </row>
    <row r="898">
      <c r="G898" t="str">
        <f>IFERROR(VLOOKUP(TRIM(E898), 'Expense Category Mapping'!A:B, 2, FALSE), "Misc")</f>
        <v>Misc</v>
      </c>
    </row>
    <row r="899">
      <c r="G899" t="str">
        <f>IFERROR(VLOOKUP(TRIM(E899), 'Expense Category Mapping'!A:B, 2, FALSE), "Misc")</f>
        <v>Misc</v>
      </c>
    </row>
    <row r="900">
      <c r="G900" t="str">
        <f>IFERROR(VLOOKUP(TRIM(E900), 'Expense Category Mapping'!A:B, 2, FALSE), "Misc")</f>
        <v>Misc</v>
      </c>
    </row>
    <row r="901">
      <c r="G901" t="str">
        <f>IFERROR(VLOOKUP(TRIM(E901), 'Expense Category Mapping'!A:B, 2, FALSE), "Misc")</f>
        <v>Misc</v>
      </c>
    </row>
    <row r="902">
      <c r="G902" t="str">
        <f>IFERROR(VLOOKUP(TRIM(E902), 'Expense Category Mapping'!A:B, 2, FALSE), "Misc")</f>
        <v>Misc</v>
      </c>
    </row>
    <row r="903">
      <c r="G903" t="str">
        <f>IFERROR(VLOOKUP(TRIM(E903), 'Expense Category Mapping'!A:B, 2, FALSE), "Misc")</f>
        <v>Misc</v>
      </c>
    </row>
    <row r="904">
      <c r="G904" t="str">
        <f>IFERROR(VLOOKUP(TRIM(E904), 'Expense Category Mapping'!A:B, 2, FALSE), "Misc")</f>
        <v>Misc</v>
      </c>
    </row>
    <row r="905">
      <c r="G905" t="str">
        <f>IFERROR(VLOOKUP(TRIM(E905), 'Expense Category Mapping'!A:B, 2, FALSE), "Misc")</f>
        <v>Misc</v>
      </c>
    </row>
    <row r="906">
      <c r="G906" t="str">
        <f>IFERROR(VLOOKUP(TRIM(E906), 'Expense Category Mapping'!A:B, 2, FALSE), "Misc")</f>
        <v>Misc</v>
      </c>
    </row>
    <row r="907">
      <c r="G907" t="str">
        <f>IFERROR(VLOOKUP(TRIM(E907), 'Expense Category Mapping'!A:B, 2, FALSE), "Misc")</f>
        <v>Misc</v>
      </c>
    </row>
    <row r="908">
      <c r="G908" t="str">
        <f>IFERROR(VLOOKUP(TRIM(E908), 'Expense Category Mapping'!A:B, 2, FALSE), "Misc")</f>
        <v>Misc</v>
      </c>
    </row>
    <row r="909">
      <c r="G909" t="str">
        <f>IFERROR(VLOOKUP(TRIM(E909), 'Expense Category Mapping'!A:B, 2, FALSE), "Misc")</f>
        <v>Misc</v>
      </c>
    </row>
    <row r="910">
      <c r="G910" t="str">
        <f>IFERROR(VLOOKUP(TRIM(E910), 'Expense Category Mapping'!A:B, 2, FALSE), "Misc")</f>
        <v>Misc</v>
      </c>
    </row>
    <row r="911">
      <c r="G911" t="str">
        <f>IFERROR(VLOOKUP(TRIM(E911), 'Expense Category Mapping'!A:B, 2, FALSE), "Misc")</f>
        <v>Misc</v>
      </c>
    </row>
    <row r="912">
      <c r="G912" t="str">
        <f>IFERROR(VLOOKUP(TRIM(E912), 'Expense Category Mapping'!A:B, 2, FALSE), "Misc")</f>
        <v>Misc</v>
      </c>
    </row>
    <row r="913">
      <c r="G913" t="str">
        <f>IFERROR(VLOOKUP(TRIM(E913), 'Expense Category Mapping'!A:B, 2, FALSE), "Misc")</f>
        <v>Misc</v>
      </c>
    </row>
    <row r="914">
      <c r="G914" t="str">
        <f>IFERROR(VLOOKUP(TRIM(E914), 'Expense Category Mapping'!A:B, 2, FALSE), "Misc")</f>
        <v>Misc</v>
      </c>
    </row>
    <row r="915">
      <c r="G915" t="str">
        <f>IFERROR(VLOOKUP(TRIM(E915), 'Expense Category Mapping'!A:B, 2, FALSE), "Misc")</f>
        <v>Misc</v>
      </c>
    </row>
    <row r="916">
      <c r="G916" t="str">
        <f>IFERROR(VLOOKUP(TRIM(E916), 'Expense Category Mapping'!A:B, 2, FALSE), "Misc")</f>
        <v>Misc</v>
      </c>
    </row>
    <row r="917">
      <c r="G917" t="str">
        <f>IFERROR(VLOOKUP(TRIM(E917), 'Expense Category Mapping'!A:B, 2, FALSE), "Misc")</f>
        <v>Misc</v>
      </c>
    </row>
    <row r="918">
      <c r="G918" t="str">
        <f>IFERROR(VLOOKUP(TRIM(E918), 'Expense Category Mapping'!A:B, 2, FALSE), "Misc")</f>
        <v>Misc</v>
      </c>
    </row>
    <row r="919">
      <c r="G919" t="str">
        <f>IFERROR(VLOOKUP(TRIM(E919), 'Expense Category Mapping'!A:B, 2, FALSE), "Misc")</f>
        <v>Misc</v>
      </c>
    </row>
    <row r="920">
      <c r="G920" t="str">
        <f>IFERROR(VLOOKUP(TRIM(E920), 'Expense Category Mapping'!A:B, 2, FALSE), "Misc")</f>
        <v>Misc</v>
      </c>
    </row>
    <row r="921">
      <c r="G921" t="str">
        <f>IFERROR(VLOOKUP(TRIM(E921), 'Expense Category Mapping'!A:B, 2, FALSE), "Misc")</f>
        <v>Misc</v>
      </c>
    </row>
    <row r="922">
      <c r="G922" t="str">
        <f>IFERROR(VLOOKUP(TRIM(E922), 'Expense Category Mapping'!A:B, 2, FALSE), "Misc")</f>
        <v>Misc</v>
      </c>
    </row>
    <row r="923">
      <c r="G923" t="str">
        <f>IFERROR(VLOOKUP(TRIM(E923), 'Expense Category Mapping'!A:B, 2, FALSE), "Misc")</f>
        <v>Misc</v>
      </c>
    </row>
    <row r="924">
      <c r="G924" t="str">
        <f>IFERROR(VLOOKUP(TRIM(E924), 'Expense Category Mapping'!A:B, 2, FALSE), "Misc")</f>
        <v>Misc</v>
      </c>
    </row>
    <row r="925">
      <c r="G925" t="str">
        <f>IFERROR(VLOOKUP(TRIM(E925), 'Expense Category Mapping'!A:B, 2, FALSE), "Misc")</f>
        <v>Misc</v>
      </c>
    </row>
    <row r="926">
      <c r="G926" t="str">
        <f>IFERROR(VLOOKUP(TRIM(E926), 'Expense Category Mapping'!A:B, 2, FALSE), "Misc")</f>
        <v>Misc</v>
      </c>
    </row>
    <row r="927">
      <c r="G927" t="str">
        <f>IFERROR(VLOOKUP(TRIM(E927), 'Expense Category Mapping'!A:B, 2, FALSE), "Misc")</f>
        <v>Misc</v>
      </c>
    </row>
    <row r="928">
      <c r="G928" t="str">
        <f>IFERROR(VLOOKUP(TRIM(E928), 'Expense Category Mapping'!A:B, 2, FALSE), "Misc")</f>
        <v>Misc</v>
      </c>
    </row>
    <row r="929">
      <c r="G929" t="str">
        <f>IFERROR(VLOOKUP(TRIM(E929), 'Expense Category Mapping'!A:B, 2, FALSE), "Misc")</f>
        <v>Misc</v>
      </c>
    </row>
    <row r="930">
      <c r="G930" t="str">
        <f>IFERROR(VLOOKUP(TRIM(E930), 'Expense Category Mapping'!A:B, 2, FALSE), "Misc")</f>
        <v>Misc</v>
      </c>
    </row>
    <row r="931">
      <c r="G931" t="str">
        <f>IFERROR(VLOOKUP(TRIM(E931), 'Expense Category Mapping'!A:B, 2, FALSE), "Misc")</f>
        <v>Misc</v>
      </c>
    </row>
    <row r="932">
      <c r="G932" t="str">
        <f>IFERROR(VLOOKUP(TRIM(E932), 'Expense Category Mapping'!A:B, 2, FALSE), "Misc")</f>
        <v>Misc</v>
      </c>
    </row>
    <row r="933">
      <c r="G933" t="str">
        <f>IFERROR(VLOOKUP(TRIM(E933), 'Expense Category Mapping'!A:B, 2, FALSE), "Misc")</f>
        <v>Misc</v>
      </c>
    </row>
    <row r="934">
      <c r="G934" t="str">
        <f>IFERROR(VLOOKUP(TRIM(E934), 'Expense Category Mapping'!A:B, 2, FALSE), "Misc")</f>
        <v>Misc</v>
      </c>
    </row>
    <row r="935">
      <c r="G935" t="str">
        <f>IFERROR(VLOOKUP(TRIM(E935), 'Expense Category Mapping'!A:B, 2, FALSE), "Misc")</f>
        <v>Misc</v>
      </c>
    </row>
    <row r="936">
      <c r="G936" t="str">
        <f>IFERROR(VLOOKUP(TRIM(E936), 'Expense Category Mapping'!A:B, 2, FALSE), "Misc")</f>
        <v>Misc</v>
      </c>
    </row>
    <row r="937">
      <c r="G937" t="str">
        <f>IFERROR(VLOOKUP(TRIM(E937), 'Expense Category Mapping'!A:B, 2, FALSE), "Misc")</f>
        <v>Misc</v>
      </c>
    </row>
    <row r="938">
      <c r="G938" t="str">
        <f>IFERROR(VLOOKUP(TRIM(E938), 'Expense Category Mapping'!A:B, 2, FALSE), "Misc")</f>
        <v>Misc</v>
      </c>
    </row>
    <row r="939">
      <c r="G939" t="str">
        <f>IFERROR(VLOOKUP(TRIM(E939), 'Expense Category Mapping'!A:B, 2, FALSE), "Misc")</f>
        <v>Misc</v>
      </c>
    </row>
    <row r="940">
      <c r="G940" t="str">
        <f>IFERROR(VLOOKUP(TRIM(E940), 'Expense Category Mapping'!A:B, 2, FALSE), "Misc")</f>
        <v>Misc</v>
      </c>
    </row>
    <row r="941">
      <c r="G941" t="str">
        <f>IFERROR(VLOOKUP(TRIM(E941), 'Expense Category Mapping'!A:B, 2, FALSE), "Misc")</f>
        <v>Misc</v>
      </c>
    </row>
    <row r="942">
      <c r="G942" t="str">
        <f>IFERROR(VLOOKUP(TRIM(E942), 'Expense Category Mapping'!A:B, 2, FALSE), "Misc")</f>
        <v>Misc</v>
      </c>
    </row>
    <row r="943">
      <c r="G943" t="str">
        <f>IFERROR(VLOOKUP(TRIM(E943), 'Expense Category Mapping'!A:B, 2, FALSE), "Misc")</f>
        <v>Misc</v>
      </c>
    </row>
    <row r="944">
      <c r="G944" t="str">
        <f>IFERROR(VLOOKUP(TRIM(E944), 'Expense Category Mapping'!A:B, 2, FALSE), "Misc")</f>
        <v>Misc</v>
      </c>
    </row>
    <row r="945">
      <c r="G945" t="str">
        <f>IFERROR(VLOOKUP(TRIM(E945), 'Expense Category Mapping'!A:B, 2, FALSE), "Misc")</f>
        <v>Misc</v>
      </c>
    </row>
    <row r="946">
      <c r="G946" t="str">
        <f>IFERROR(VLOOKUP(TRIM(E946), 'Expense Category Mapping'!A:B, 2, FALSE), "Misc")</f>
        <v>Misc</v>
      </c>
    </row>
    <row r="947">
      <c r="G947" t="str">
        <f>IFERROR(VLOOKUP(TRIM(E947), 'Expense Category Mapping'!A:B, 2, FALSE), "Misc")</f>
        <v>Misc</v>
      </c>
    </row>
    <row r="948">
      <c r="G948" t="str">
        <f>IFERROR(VLOOKUP(TRIM(E948), 'Expense Category Mapping'!A:B, 2, FALSE), "Misc")</f>
        <v>Misc</v>
      </c>
    </row>
    <row r="949">
      <c r="G949" t="str">
        <f>IFERROR(VLOOKUP(TRIM(E949), 'Expense Category Mapping'!A:B, 2, FALSE), "Misc")</f>
        <v>Misc</v>
      </c>
    </row>
    <row r="950">
      <c r="G950" t="str">
        <f>IFERROR(VLOOKUP(TRIM(E950), 'Expense Category Mapping'!A:B, 2, FALSE), "Misc")</f>
        <v>Misc</v>
      </c>
    </row>
    <row r="951">
      <c r="G951" t="str">
        <f>IFERROR(VLOOKUP(TRIM(E951), 'Expense Category Mapping'!A:B, 2, FALSE), "Misc")</f>
        <v>Misc</v>
      </c>
    </row>
    <row r="952">
      <c r="G952" t="str">
        <f>IFERROR(VLOOKUP(TRIM(E952), 'Expense Category Mapping'!A:B, 2, FALSE), "Misc")</f>
        <v>Misc</v>
      </c>
    </row>
    <row r="953">
      <c r="G953" t="str">
        <f>IFERROR(VLOOKUP(TRIM(E953), 'Expense Category Mapping'!A:B, 2, FALSE), "Misc")</f>
        <v>Misc</v>
      </c>
    </row>
    <row r="954">
      <c r="G954" t="str">
        <f>IFERROR(VLOOKUP(TRIM(E954), 'Expense Category Mapping'!A:B, 2, FALSE), "Misc")</f>
        <v>Misc</v>
      </c>
    </row>
    <row r="955">
      <c r="G955" t="str">
        <f>IFERROR(VLOOKUP(TRIM(E955), 'Expense Category Mapping'!A:B, 2, FALSE), "Misc")</f>
        <v>Misc</v>
      </c>
    </row>
    <row r="956">
      <c r="G956" t="str">
        <f>IFERROR(VLOOKUP(TRIM(E956), 'Expense Category Mapping'!A:B, 2, FALSE), "Misc")</f>
        <v>Misc</v>
      </c>
    </row>
    <row r="957">
      <c r="G957" t="str">
        <f>IFERROR(VLOOKUP(TRIM(E957), 'Expense Category Mapping'!A:B, 2, FALSE), "Misc")</f>
        <v>Misc</v>
      </c>
    </row>
    <row r="958">
      <c r="G958" t="str">
        <f>IFERROR(VLOOKUP(TRIM(E958), 'Expense Category Mapping'!A:B, 2, FALSE), "Misc")</f>
        <v>Misc</v>
      </c>
    </row>
    <row r="959">
      <c r="G959" t="str">
        <f>IFERROR(VLOOKUP(TRIM(E959), 'Expense Category Mapping'!A:B, 2, FALSE), "Misc")</f>
        <v>Misc</v>
      </c>
    </row>
    <row r="960">
      <c r="G960" t="str">
        <f>IFERROR(VLOOKUP(TRIM(E960), 'Expense Category Mapping'!A:B, 2, FALSE), "Misc")</f>
        <v>Misc</v>
      </c>
    </row>
    <row r="961">
      <c r="G961" t="str">
        <f>IFERROR(VLOOKUP(TRIM(E961), 'Expense Category Mapping'!A:B, 2, FALSE), "Misc")</f>
        <v>Misc</v>
      </c>
    </row>
    <row r="962">
      <c r="G962" t="str">
        <f>IFERROR(VLOOKUP(TRIM(E962), 'Expense Category Mapping'!A:B, 2, FALSE), "Misc")</f>
        <v>Misc</v>
      </c>
    </row>
    <row r="963">
      <c r="G963" t="str">
        <f>IFERROR(VLOOKUP(TRIM(E963), 'Expense Category Mapping'!A:B, 2, FALSE), "Misc")</f>
        <v>Misc</v>
      </c>
    </row>
    <row r="964">
      <c r="G964" t="str">
        <f>IFERROR(VLOOKUP(TRIM(E964), 'Expense Category Mapping'!A:B, 2, FALSE), "Misc")</f>
        <v>Misc</v>
      </c>
    </row>
    <row r="965">
      <c r="G965" t="str">
        <f>IFERROR(VLOOKUP(TRIM(E965), 'Expense Category Mapping'!A:B, 2, FALSE), "Misc")</f>
        <v>Misc</v>
      </c>
    </row>
    <row r="966">
      <c r="G966" t="str">
        <f>IFERROR(VLOOKUP(TRIM(E966), 'Expense Category Mapping'!A:B, 2, FALSE), "Misc")</f>
        <v>Misc</v>
      </c>
    </row>
    <row r="967">
      <c r="G967" t="str">
        <f>IFERROR(VLOOKUP(TRIM(E967), 'Expense Category Mapping'!A:B, 2, FALSE), "Misc")</f>
        <v>Misc</v>
      </c>
    </row>
    <row r="968">
      <c r="G968" t="str">
        <f>IFERROR(VLOOKUP(TRIM(E968), 'Expense Category Mapping'!A:B, 2, FALSE), "Misc")</f>
        <v>Misc</v>
      </c>
    </row>
    <row r="969">
      <c r="G969" t="str">
        <f>IFERROR(VLOOKUP(TRIM(E969), 'Expense Category Mapping'!A:B, 2, FALSE), "Misc")</f>
        <v>Misc</v>
      </c>
    </row>
    <row r="970">
      <c r="G970" t="str">
        <f>IFERROR(VLOOKUP(TRIM(E970), 'Expense Category Mapping'!A:B, 2, FALSE), "Misc")</f>
        <v>Misc</v>
      </c>
    </row>
    <row r="971">
      <c r="G971" t="str">
        <f>IFERROR(VLOOKUP(TRIM(E971), 'Expense Category Mapping'!A:B, 2, FALSE), "Misc")</f>
        <v>Misc</v>
      </c>
    </row>
    <row r="972">
      <c r="G972" t="str">
        <f>IFERROR(VLOOKUP(TRIM(E972), 'Expense Category Mapping'!A:B, 2, FALSE), "Misc")</f>
        <v>Misc</v>
      </c>
    </row>
    <row r="973">
      <c r="G973" t="str">
        <f>IFERROR(VLOOKUP(TRIM(E973), 'Expense Category Mapping'!A:B, 2, FALSE), "Misc")</f>
        <v>Misc</v>
      </c>
    </row>
    <row r="974">
      <c r="G974" t="str">
        <f>IFERROR(VLOOKUP(TRIM(E974), 'Expense Category Mapping'!A:B, 2, FALSE), "Misc")</f>
        <v>Misc</v>
      </c>
    </row>
    <row r="975">
      <c r="G975" t="str">
        <f>IFERROR(VLOOKUP(TRIM(E975), 'Expense Category Mapping'!A:B, 2, FALSE), "Misc")</f>
        <v>Misc</v>
      </c>
    </row>
    <row r="976">
      <c r="G976" t="str">
        <f>IFERROR(VLOOKUP(TRIM(E976), 'Expense Category Mapping'!A:B, 2, FALSE), "Misc")</f>
        <v>Misc</v>
      </c>
    </row>
    <row r="977">
      <c r="G977" t="str">
        <f>IFERROR(VLOOKUP(TRIM(E977), 'Expense Category Mapping'!A:B, 2, FALSE), "Misc")</f>
        <v>Misc</v>
      </c>
    </row>
    <row r="978">
      <c r="G978" t="str">
        <f>IFERROR(VLOOKUP(TRIM(E978), 'Expense Category Mapping'!A:B, 2, FALSE), "Misc")</f>
        <v>Misc</v>
      </c>
    </row>
    <row r="979">
      <c r="G979" t="str">
        <f>IFERROR(VLOOKUP(TRIM(E979), 'Expense Category Mapping'!A:B, 2, FALSE), "Misc")</f>
        <v>Misc</v>
      </c>
    </row>
    <row r="980">
      <c r="G980" t="str">
        <f>IFERROR(VLOOKUP(TRIM(E980), 'Expense Category Mapping'!A:B, 2, FALSE), "Misc")</f>
        <v>Misc</v>
      </c>
    </row>
    <row r="981">
      <c r="G981" t="str">
        <f>IFERROR(VLOOKUP(TRIM(E981), 'Expense Category Mapping'!A:B, 2, FALSE), "Misc")</f>
        <v>Misc</v>
      </c>
    </row>
    <row r="982">
      <c r="G982" t="str">
        <f>IFERROR(VLOOKUP(TRIM(E982), 'Expense Category Mapping'!A:B, 2, FALSE), "Misc")</f>
        <v>Misc</v>
      </c>
    </row>
    <row r="983">
      <c r="G983" t="str">
        <f>IFERROR(VLOOKUP(TRIM(E983), 'Expense Category Mapping'!A:B, 2, FALSE), "Misc")</f>
        <v>Misc</v>
      </c>
    </row>
    <row r="984">
      <c r="G984" t="str">
        <f>IFERROR(VLOOKUP(TRIM(E984), 'Expense Category Mapping'!A:B, 2, FALSE), "Misc")</f>
        <v>Misc</v>
      </c>
    </row>
    <row r="985">
      <c r="G985" t="str">
        <f>IFERROR(VLOOKUP(TRIM(E985), 'Expense Category Mapping'!A:B, 2, FALSE), "Misc")</f>
        <v>Misc</v>
      </c>
    </row>
    <row r="986">
      <c r="G986" t="str">
        <f>IFERROR(VLOOKUP(TRIM(E986), 'Expense Category Mapping'!A:B, 2, FALSE), "Misc")</f>
        <v>Misc</v>
      </c>
    </row>
    <row r="987">
      <c r="G987" t="str">
        <f>IFERROR(VLOOKUP(TRIM(E987), 'Expense Category Mapping'!A:B, 2, FALSE), "Misc")</f>
        <v>Misc</v>
      </c>
    </row>
    <row r="988">
      <c r="G988" t="str">
        <f>IFERROR(VLOOKUP(TRIM(E988), 'Expense Category Mapping'!A:B, 2, FALSE), "Misc")</f>
        <v>Misc</v>
      </c>
    </row>
    <row r="989">
      <c r="G989" t="str">
        <f>IFERROR(VLOOKUP(TRIM(E989), 'Expense Category Mapping'!A:B, 2, FALSE), "Misc")</f>
        <v>Misc</v>
      </c>
    </row>
    <row r="990">
      <c r="G990" t="str">
        <f>IFERROR(VLOOKUP(TRIM(E990), 'Expense Category Mapping'!A:B, 2, FALSE), "Misc")</f>
        <v>Misc</v>
      </c>
    </row>
  </sheetData>
  <hyperlinks>
    <hyperlink r:id="rId1" ref="D34"/>
    <hyperlink r:id="rId2" ref="D50"/>
    <hyperlink r:id="rId3" ref="D62"/>
    <hyperlink r:id="rId4" ref="D80"/>
  </hyperlinks>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0" max="10" width="30.5"/>
  </cols>
  <sheetData>
    <row r="1">
      <c r="A1" s="266" t="s">
        <v>298</v>
      </c>
      <c r="B1" s="266" t="s">
        <v>299</v>
      </c>
      <c r="C1" s="266" t="s">
        <v>300</v>
      </c>
      <c r="D1" s="266" t="s">
        <v>301</v>
      </c>
      <c r="E1" s="266" t="s">
        <v>302</v>
      </c>
      <c r="F1" s="266" t="s">
        <v>303</v>
      </c>
      <c r="G1" s="266" t="s">
        <v>304</v>
      </c>
      <c r="H1" s="267" t="s">
        <v>305</v>
      </c>
      <c r="I1" s="268"/>
      <c r="J1" s="269" t="s">
        <v>306</v>
      </c>
    </row>
    <row r="2">
      <c r="A2" s="270">
        <v>46082.0</v>
      </c>
      <c r="B2" s="271"/>
      <c r="C2" s="271"/>
      <c r="D2" s="272" t="s">
        <v>307</v>
      </c>
      <c r="E2" s="271"/>
      <c r="F2" s="271"/>
      <c r="G2" s="272">
        <v>0.0</v>
      </c>
      <c r="H2" s="273" t="s">
        <v>72</v>
      </c>
      <c r="J2" s="274"/>
    </row>
    <row r="3">
      <c r="A3" s="270">
        <v>46082.0</v>
      </c>
      <c r="B3" s="271"/>
      <c r="C3" s="271"/>
      <c r="D3" s="272" t="s">
        <v>307</v>
      </c>
      <c r="E3" s="271"/>
      <c r="F3" s="271"/>
      <c r="G3" s="272">
        <v>0.0</v>
      </c>
      <c r="H3" s="273" t="s">
        <v>119</v>
      </c>
      <c r="J3" s="274"/>
    </row>
    <row r="4">
      <c r="A4" s="270">
        <v>46082.0</v>
      </c>
      <c r="B4" s="271"/>
      <c r="C4" s="271"/>
      <c r="D4" s="272" t="s">
        <v>307</v>
      </c>
      <c r="E4" s="271"/>
      <c r="F4" s="271"/>
      <c r="G4" s="272">
        <v>0.0</v>
      </c>
      <c r="H4" s="273" t="s">
        <v>82</v>
      </c>
      <c r="J4" s="274"/>
    </row>
    <row r="5">
      <c r="A5" s="270">
        <v>46082.0</v>
      </c>
      <c r="B5" s="271"/>
      <c r="C5" s="271"/>
      <c r="D5" s="272" t="s">
        <v>307</v>
      </c>
      <c r="E5" s="271"/>
      <c r="F5" s="271"/>
      <c r="G5" s="272">
        <v>0.0</v>
      </c>
      <c r="H5" s="273" t="s">
        <v>85</v>
      </c>
      <c r="J5" s="274"/>
    </row>
    <row r="6">
      <c r="A6" s="270">
        <v>46082.0</v>
      </c>
      <c r="B6" s="271"/>
      <c r="C6" s="271"/>
      <c r="D6" s="272" t="s">
        <v>307</v>
      </c>
      <c r="E6" s="271"/>
      <c r="F6" s="271"/>
      <c r="G6" s="272">
        <v>0.0</v>
      </c>
      <c r="H6" s="273" t="s">
        <v>127</v>
      </c>
      <c r="J6" s="274"/>
    </row>
    <row r="7">
      <c r="A7" s="270">
        <v>46082.0</v>
      </c>
      <c r="B7" s="271"/>
      <c r="C7" s="271"/>
      <c r="D7" s="272" t="s">
        <v>307</v>
      </c>
      <c r="E7" s="271"/>
      <c r="F7" s="271"/>
      <c r="G7" s="272">
        <v>0.0</v>
      </c>
      <c r="H7" s="273" t="s">
        <v>136</v>
      </c>
      <c r="J7" s="274"/>
    </row>
    <row r="8">
      <c r="A8" s="270">
        <v>46082.0</v>
      </c>
      <c r="B8" s="271"/>
      <c r="C8" s="271"/>
      <c r="D8" s="272" t="s">
        <v>307</v>
      </c>
      <c r="E8" s="271"/>
      <c r="F8" s="271"/>
      <c r="G8" s="272">
        <v>0.0</v>
      </c>
      <c r="H8" s="273" t="s">
        <v>69</v>
      </c>
      <c r="J8" s="274"/>
    </row>
    <row r="9">
      <c r="A9" s="270">
        <v>46082.0</v>
      </c>
      <c r="B9" s="271"/>
      <c r="C9" s="271"/>
      <c r="D9" s="272" t="s">
        <v>307</v>
      </c>
      <c r="E9" s="271"/>
      <c r="F9" s="271"/>
      <c r="G9" s="272">
        <v>0.0</v>
      </c>
      <c r="H9" s="273" t="s">
        <v>87</v>
      </c>
      <c r="J9" s="274"/>
    </row>
    <row r="10">
      <c r="A10" s="270">
        <v>46082.0</v>
      </c>
      <c r="B10" s="271"/>
      <c r="C10" s="271"/>
      <c r="D10" s="272" t="s">
        <v>307</v>
      </c>
      <c r="E10" s="271"/>
      <c r="F10" s="271"/>
      <c r="G10" s="272">
        <v>0.0</v>
      </c>
      <c r="H10" s="275" t="s">
        <v>122</v>
      </c>
      <c r="J10" s="274"/>
    </row>
    <row r="11">
      <c r="A11" s="270">
        <v>46082.0</v>
      </c>
      <c r="B11" s="271"/>
      <c r="C11" s="271"/>
      <c r="D11" s="272" t="s">
        <v>307</v>
      </c>
      <c r="E11" s="271"/>
      <c r="F11" s="271"/>
      <c r="G11" s="272">
        <v>0.0</v>
      </c>
      <c r="H11" s="275" t="s">
        <v>139</v>
      </c>
      <c r="J11" s="274"/>
    </row>
    <row r="12">
      <c r="A12" s="270">
        <v>46082.0</v>
      </c>
      <c r="B12" s="271"/>
      <c r="C12" s="271"/>
      <c r="D12" s="272" t="s">
        <v>307</v>
      </c>
      <c r="E12" s="271"/>
      <c r="F12" s="271"/>
      <c r="G12" s="272">
        <v>0.0</v>
      </c>
      <c r="H12" s="273" t="s">
        <v>236</v>
      </c>
      <c r="J12" s="274"/>
    </row>
    <row r="13">
      <c r="A13" s="270">
        <v>46082.0</v>
      </c>
      <c r="B13" s="271"/>
      <c r="C13" s="271"/>
      <c r="D13" s="272" t="s">
        <v>307</v>
      </c>
      <c r="E13" s="271"/>
      <c r="F13" s="271"/>
      <c r="G13" s="272">
        <v>0.0</v>
      </c>
      <c r="H13" s="275" t="s">
        <v>253</v>
      </c>
      <c r="J13" s="274"/>
    </row>
    <row r="14">
      <c r="A14" s="270">
        <v>46082.0</v>
      </c>
      <c r="B14" s="271"/>
      <c r="C14" s="271"/>
      <c r="D14" s="272" t="s">
        <v>307</v>
      </c>
      <c r="E14" s="271"/>
      <c r="F14" s="271"/>
      <c r="G14" s="272">
        <v>0.0</v>
      </c>
      <c r="H14" s="275" t="s">
        <v>100</v>
      </c>
      <c r="J14" s="274"/>
    </row>
    <row r="15">
      <c r="A15" s="270">
        <v>46082.0</v>
      </c>
      <c r="B15" s="271"/>
      <c r="C15" s="271"/>
      <c r="D15" s="272" t="s">
        <v>307</v>
      </c>
      <c r="E15" s="271"/>
      <c r="F15" s="271"/>
      <c r="G15" s="272">
        <v>0.0</v>
      </c>
      <c r="H15" s="275" t="s">
        <v>251</v>
      </c>
      <c r="J15" s="274"/>
    </row>
    <row r="16">
      <c r="A16" s="270">
        <v>46082.0</v>
      </c>
      <c r="B16" s="271"/>
      <c r="C16" s="271"/>
      <c r="D16" s="272" t="s">
        <v>307</v>
      </c>
      <c r="E16" s="271"/>
      <c r="F16" s="271"/>
      <c r="G16" s="272">
        <v>0.0</v>
      </c>
      <c r="H16" s="275" t="s">
        <v>79</v>
      </c>
      <c r="J16" s="274"/>
    </row>
    <row r="17">
      <c r="A17" s="270">
        <v>46082.0</v>
      </c>
      <c r="B17" s="271"/>
      <c r="C17" s="271"/>
      <c r="D17" s="272" t="s">
        <v>307</v>
      </c>
      <c r="E17" s="271"/>
      <c r="F17" s="271"/>
      <c r="G17" s="272">
        <v>0.0</v>
      </c>
      <c r="H17" s="273" t="s">
        <v>59</v>
      </c>
      <c r="J17" s="274"/>
    </row>
    <row r="18">
      <c r="A18" s="270">
        <v>46082.0</v>
      </c>
      <c r="B18" s="271"/>
      <c r="C18" s="271"/>
      <c r="D18" s="272" t="s">
        <v>307</v>
      </c>
      <c r="E18" s="271"/>
      <c r="F18" s="271"/>
      <c r="G18" s="272">
        <v>0.0</v>
      </c>
      <c r="H18" s="273" t="s">
        <v>60</v>
      </c>
      <c r="J18" s="274"/>
    </row>
    <row r="19">
      <c r="A19" s="270">
        <v>46082.0</v>
      </c>
      <c r="B19" s="271"/>
      <c r="C19" s="271"/>
      <c r="D19" s="272" t="s">
        <v>307</v>
      </c>
      <c r="E19" s="271"/>
      <c r="F19" s="271"/>
      <c r="G19" s="272">
        <v>0.0</v>
      </c>
      <c r="H19" s="273" t="s">
        <v>123</v>
      </c>
      <c r="J19" s="274"/>
    </row>
    <row r="20">
      <c r="A20" s="276">
        <v>46084.796944444446</v>
      </c>
      <c r="B20" s="260" t="s">
        <v>308</v>
      </c>
      <c r="C20" s="260" t="s">
        <v>309</v>
      </c>
      <c r="D20" s="260" t="s">
        <v>310</v>
      </c>
      <c r="E20" s="260" t="s">
        <v>2</v>
      </c>
      <c r="F20" s="260" t="s">
        <v>311</v>
      </c>
      <c r="G20" s="277">
        <v>-20.0</v>
      </c>
      <c r="H20" s="273" t="s">
        <v>82</v>
      </c>
      <c r="J20" s="274"/>
    </row>
    <row r="21">
      <c r="A21" s="276">
        <v>46090.711168981485</v>
      </c>
      <c r="B21" s="260" t="s">
        <v>308</v>
      </c>
      <c r="C21" s="260" t="s">
        <v>309</v>
      </c>
      <c r="D21" s="260" t="s">
        <v>312</v>
      </c>
      <c r="E21" s="260" t="s">
        <v>2</v>
      </c>
      <c r="F21" s="260" t="s">
        <v>313</v>
      </c>
      <c r="G21" s="277">
        <v>-25.0</v>
      </c>
      <c r="H21" s="273" t="s">
        <v>82</v>
      </c>
      <c r="J21" s="278"/>
    </row>
    <row r="22">
      <c r="A22" s="276">
        <v>46096.92954861111</v>
      </c>
      <c r="B22" s="260" t="s">
        <v>308</v>
      </c>
      <c r="C22" s="260" t="s">
        <v>309</v>
      </c>
      <c r="D22" s="260" t="s">
        <v>314</v>
      </c>
      <c r="E22" s="260" t="s">
        <v>315</v>
      </c>
      <c r="F22" s="260" t="s">
        <v>2</v>
      </c>
      <c r="G22" s="277">
        <v>25.0</v>
      </c>
      <c r="H22" s="273" t="s">
        <v>82</v>
      </c>
      <c r="J22" s="278"/>
    </row>
    <row r="23">
      <c r="A23" s="276">
        <v>46096.935520833336</v>
      </c>
      <c r="B23" s="260" t="s">
        <v>316</v>
      </c>
      <c r="C23" s="260" t="s">
        <v>309</v>
      </c>
      <c r="D23" s="260" t="s">
        <v>317</v>
      </c>
      <c r="E23" s="260" t="s">
        <v>2</v>
      </c>
      <c r="F23" s="260" t="s">
        <v>318</v>
      </c>
      <c r="G23" s="277">
        <v>37.0</v>
      </c>
      <c r="H23" s="273" t="s">
        <v>136</v>
      </c>
      <c r="J23" s="278"/>
    </row>
    <row r="24">
      <c r="A24" s="276">
        <v>46097.044594907406</v>
      </c>
      <c r="B24" s="260" t="s">
        <v>308</v>
      </c>
      <c r="C24" s="260" t="s">
        <v>309</v>
      </c>
      <c r="D24" s="260" t="s">
        <v>319</v>
      </c>
      <c r="E24" s="260" t="s">
        <v>315</v>
      </c>
      <c r="F24" s="260" t="s">
        <v>2</v>
      </c>
      <c r="G24" s="277">
        <v>55.0</v>
      </c>
      <c r="H24" s="273" t="s">
        <v>82</v>
      </c>
      <c r="J24" s="278"/>
    </row>
    <row r="25">
      <c r="A25" s="276">
        <v>46100.71030092592</v>
      </c>
      <c r="B25" s="260" t="s">
        <v>308</v>
      </c>
      <c r="C25" s="260" t="s">
        <v>309</v>
      </c>
      <c r="D25" s="260" t="s">
        <v>320</v>
      </c>
      <c r="E25" s="260" t="s">
        <v>321</v>
      </c>
      <c r="F25" s="260" t="s">
        <v>2</v>
      </c>
      <c r="G25" s="277">
        <v>20.0</v>
      </c>
      <c r="H25" s="273" t="s">
        <v>82</v>
      </c>
    </row>
    <row r="26">
      <c r="A26" s="276">
        <v>46100.71444444444</v>
      </c>
      <c r="B26" s="260" t="s">
        <v>308</v>
      </c>
      <c r="C26" s="260" t="s">
        <v>309</v>
      </c>
      <c r="D26" s="260" t="s">
        <v>322</v>
      </c>
      <c r="E26" s="260" t="s">
        <v>2</v>
      </c>
      <c r="F26" s="260" t="s">
        <v>321</v>
      </c>
      <c r="G26" s="277">
        <v>-5.0</v>
      </c>
      <c r="H26" s="273" t="s">
        <v>82</v>
      </c>
    </row>
    <row r="27">
      <c r="A27" s="276">
        <v>46100.76886574074</v>
      </c>
      <c r="B27" s="260" t="s">
        <v>308</v>
      </c>
      <c r="C27" s="260" t="s">
        <v>309</v>
      </c>
      <c r="D27" s="260" t="s">
        <v>323</v>
      </c>
      <c r="E27" s="260" t="s">
        <v>315</v>
      </c>
      <c r="F27" s="260" t="s">
        <v>2</v>
      </c>
      <c r="G27" s="277">
        <v>20.0</v>
      </c>
      <c r="H27" s="273" t="s">
        <v>82</v>
      </c>
    </row>
    <row r="28">
      <c r="A28" s="276">
        <v>46101.15384259259</v>
      </c>
      <c r="B28" s="260" t="s">
        <v>308</v>
      </c>
      <c r="C28" s="260" t="s">
        <v>309</v>
      </c>
      <c r="D28" s="260" t="s">
        <v>324</v>
      </c>
      <c r="E28" s="260" t="s">
        <v>2</v>
      </c>
      <c r="F28" s="260" t="s">
        <v>325</v>
      </c>
      <c r="G28" s="277">
        <v>-5.0</v>
      </c>
      <c r="H28" s="273" t="s">
        <v>82</v>
      </c>
    </row>
    <row r="29">
      <c r="A29" s="276">
        <v>46102.90267361111</v>
      </c>
      <c r="B29" s="260" t="s">
        <v>308</v>
      </c>
      <c r="C29" s="260" t="s">
        <v>309</v>
      </c>
      <c r="D29" s="260" t="s">
        <v>326</v>
      </c>
      <c r="E29" s="260" t="s">
        <v>2</v>
      </c>
      <c r="F29" s="260" t="s">
        <v>327</v>
      </c>
      <c r="G29" s="277">
        <v>-11.0</v>
      </c>
      <c r="H29" s="275" t="s">
        <v>122</v>
      </c>
    </row>
    <row r="30">
      <c r="A30" s="276">
        <v>46111.91119212963</v>
      </c>
      <c r="B30" s="260" t="s">
        <v>308</v>
      </c>
      <c r="C30" s="260" t="s">
        <v>309</v>
      </c>
      <c r="D30" s="260" t="s">
        <v>328</v>
      </c>
      <c r="E30" s="260" t="s">
        <v>2</v>
      </c>
      <c r="F30" s="260" t="s">
        <v>318</v>
      </c>
      <c r="G30" s="277">
        <v>-18.5</v>
      </c>
      <c r="H30" s="273" t="s">
        <v>119</v>
      </c>
    </row>
    <row r="31">
      <c r="A31" s="279"/>
      <c r="B31" s="279"/>
      <c r="C31" s="279"/>
      <c r="D31" s="279"/>
      <c r="E31" s="279"/>
      <c r="F31" s="279"/>
      <c r="G31" s="279"/>
      <c r="H31" s="280"/>
    </row>
    <row r="34">
      <c r="A34" s="276">
        <v>46113.167337962965</v>
      </c>
      <c r="B34" s="260" t="s">
        <v>308</v>
      </c>
      <c r="C34" s="260" t="s">
        <v>309</v>
      </c>
      <c r="D34" s="260" t="s">
        <v>329</v>
      </c>
      <c r="E34" s="260" t="s">
        <v>2</v>
      </c>
      <c r="F34" s="260" t="s">
        <v>321</v>
      </c>
      <c r="G34" s="277">
        <v>-1327.0</v>
      </c>
      <c r="H34" s="273" t="s">
        <v>59</v>
      </c>
    </row>
    <row r="35">
      <c r="A35" s="276">
        <v>46114.983877314815</v>
      </c>
      <c r="B35" s="260" t="s">
        <v>308</v>
      </c>
      <c r="C35" s="260" t="s">
        <v>309</v>
      </c>
      <c r="D35" s="260" t="s">
        <v>330</v>
      </c>
      <c r="E35" s="260" t="s">
        <v>331</v>
      </c>
      <c r="F35" s="260" t="s">
        <v>2</v>
      </c>
      <c r="G35" s="277">
        <v>65.0</v>
      </c>
      <c r="H35" s="273" t="s">
        <v>136</v>
      </c>
    </row>
    <row r="36">
      <c r="A36" s="276">
        <v>46120.27892361111</v>
      </c>
      <c r="B36" s="260" t="s">
        <v>308</v>
      </c>
      <c r="C36" s="260" t="s">
        <v>309</v>
      </c>
      <c r="D36" s="260" t="s">
        <v>332</v>
      </c>
      <c r="E36" s="260" t="s">
        <v>2</v>
      </c>
      <c r="F36" s="260" t="s">
        <v>333</v>
      </c>
      <c r="G36" s="277">
        <v>-187.0</v>
      </c>
      <c r="H36" s="273" t="s">
        <v>127</v>
      </c>
    </row>
    <row r="37">
      <c r="A37" s="276">
        <v>46120.86875</v>
      </c>
      <c r="B37" s="260" t="s">
        <v>308</v>
      </c>
      <c r="C37" s="260" t="s">
        <v>309</v>
      </c>
      <c r="D37" s="260" t="s">
        <v>334</v>
      </c>
      <c r="E37" s="260" t="s">
        <v>2</v>
      </c>
      <c r="F37" s="260" t="s">
        <v>321</v>
      </c>
      <c r="G37" s="277">
        <v>-97.75</v>
      </c>
      <c r="H37" s="273" t="s">
        <v>127</v>
      </c>
    </row>
    <row r="38">
      <c r="A38" s="276">
        <v>46122.90479166667</v>
      </c>
      <c r="B38" s="260" t="s">
        <v>308</v>
      </c>
      <c r="C38" s="260" t="s">
        <v>309</v>
      </c>
      <c r="D38" s="260" t="s">
        <v>335</v>
      </c>
      <c r="E38" s="260" t="s">
        <v>333</v>
      </c>
      <c r="F38" s="260" t="s">
        <v>2</v>
      </c>
      <c r="G38" s="277">
        <v>14.0</v>
      </c>
      <c r="H38" s="273" t="s">
        <v>119</v>
      </c>
    </row>
    <row r="39">
      <c r="A39" s="276">
        <v>46123.13741898148</v>
      </c>
      <c r="B39" s="260" t="s">
        <v>308</v>
      </c>
      <c r="C39" s="260" t="s">
        <v>309</v>
      </c>
      <c r="D39" s="260" t="s">
        <v>336</v>
      </c>
      <c r="E39" s="260" t="s">
        <v>333</v>
      </c>
      <c r="F39" s="260" t="s">
        <v>2</v>
      </c>
      <c r="G39" s="277">
        <v>10.0</v>
      </c>
      <c r="H39" s="273" t="s">
        <v>119</v>
      </c>
    </row>
    <row r="40">
      <c r="A40" s="276">
        <v>46124.745150462964</v>
      </c>
      <c r="B40" s="260" t="s">
        <v>308</v>
      </c>
      <c r="C40" s="260" t="s">
        <v>309</v>
      </c>
      <c r="D40" s="260" t="s">
        <v>337</v>
      </c>
      <c r="E40" s="260" t="s">
        <v>2</v>
      </c>
      <c r="F40" s="260" t="s">
        <v>333</v>
      </c>
      <c r="G40" s="277">
        <v>-6.0</v>
      </c>
      <c r="H40" s="273" t="s">
        <v>119</v>
      </c>
    </row>
    <row r="41">
      <c r="A41" s="276">
        <v>46126.153287037036</v>
      </c>
      <c r="B41" s="260" t="s">
        <v>308</v>
      </c>
      <c r="C41" s="260" t="s">
        <v>309</v>
      </c>
      <c r="D41" s="260" t="s">
        <v>338</v>
      </c>
      <c r="E41" s="260" t="s">
        <v>2</v>
      </c>
      <c r="F41" s="260" t="s">
        <v>339</v>
      </c>
      <c r="G41" s="277">
        <v>-94.0</v>
      </c>
      <c r="H41" s="273" t="s">
        <v>82</v>
      </c>
    </row>
    <row r="42">
      <c r="A42" s="276">
        <v>46130.10240740741</v>
      </c>
      <c r="B42" s="260" t="s">
        <v>308</v>
      </c>
      <c r="C42" s="260" t="s">
        <v>309</v>
      </c>
      <c r="D42" s="260" t="s">
        <v>340</v>
      </c>
      <c r="E42" s="260" t="s">
        <v>2</v>
      </c>
      <c r="F42" s="260" t="s">
        <v>341</v>
      </c>
      <c r="G42" s="277">
        <v>-20.0</v>
      </c>
      <c r="H42" s="273" t="s">
        <v>82</v>
      </c>
    </row>
    <row r="43">
      <c r="A43" s="276">
        <v>46131.056226851855</v>
      </c>
      <c r="B43" s="260" t="s">
        <v>308</v>
      </c>
      <c r="C43" s="260" t="s">
        <v>309</v>
      </c>
      <c r="D43" s="260" t="s">
        <v>342</v>
      </c>
      <c r="E43" s="260" t="s">
        <v>343</v>
      </c>
      <c r="F43" s="260" t="s">
        <v>2</v>
      </c>
      <c r="G43" s="277">
        <v>17.0</v>
      </c>
      <c r="H43" s="273" t="s">
        <v>119</v>
      </c>
    </row>
    <row r="44">
      <c r="A44" s="276">
        <v>46132.146145833336</v>
      </c>
      <c r="B44" s="260" t="s">
        <v>308</v>
      </c>
      <c r="C44" s="260" t="s">
        <v>309</v>
      </c>
      <c r="D44" s="260" t="s">
        <v>344</v>
      </c>
      <c r="E44" s="260" t="s">
        <v>2</v>
      </c>
      <c r="F44" s="260" t="s">
        <v>315</v>
      </c>
      <c r="G44" s="277">
        <v>-5.0</v>
      </c>
      <c r="H44" s="273" t="s">
        <v>136</v>
      </c>
    </row>
    <row r="45">
      <c r="A45" s="276">
        <v>46133.27719907407</v>
      </c>
      <c r="B45" s="260" t="s">
        <v>308</v>
      </c>
      <c r="C45" s="260" t="s">
        <v>309</v>
      </c>
      <c r="D45" s="281" t="s">
        <v>345</v>
      </c>
      <c r="E45" s="260" t="s">
        <v>2</v>
      </c>
      <c r="F45" s="260" t="s">
        <v>318</v>
      </c>
      <c r="G45" s="277">
        <v>-7.0</v>
      </c>
      <c r="H45" s="273" t="s">
        <v>119</v>
      </c>
    </row>
    <row r="46">
      <c r="A46" s="276">
        <v>46136.0643287037</v>
      </c>
      <c r="B46" s="260" t="s">
        <v>308</v>
      </c>
      <c r="C46" s="260" t="s">
        <v>309</v>
      </c>
      <c r="D46" s="281" t="s">
        <v>346</v>
      </c>
      <c r="E46" s="260" t="s">
        <v>2</v>
      </c>
      <c r="F46" s="260" t="s">
        <v>347</v>
      </c>
      <c r="G46" s="277">
        <v>-14.0</v>
      </c>
      <c r="H46" s="273" t="s">
        <v>82</v>
      </c>
    </row>
    <row r="47">
      <c r="A47" s="276">
        <v>46136.99725694444</v>
      </c>
      <c r="B47" s="260" t="s">
        <v>308</v>
      </c>
      <c r="C47" s="260" t="s">
        <v>309</v>
      </c>
      <c r="D47" s="260" t="s">
        <v>348</v>
      </c>
      <c r="E47" s="260" t="s">
        <v>349</v>
      </c>
      <c r="F47" s="260" t="s">
        <v>2</v>
      </c>
      <c r="G47" s="277">
        <v>-50.0</v>
      </c>
      <c r="H47" s="273" t="s">
        <v>82</v>
      </c>
    </row>
    <row r="48">
      <c r="A48" s="276">
        <v>46137.10616898148</v>
      </c>
      <c r="B48" s="260" t="s">
        <v>308</v>
      </c>
      <c r="C48" s="260" t="s">
        <v>309</v>
      </c>
      <c r="D48" s="260" t="s">
        <v>350</v>
      </c>
      <c r="E48" s="260" t="s">
        <v>2</v>
      </c>
      <c r="F48" s="260" t="s">
        <v>321</v>
      </c>
      <c r="G48" s="277">
        <v>-66.0</v>
      </c>
      <c r="H48" s="273" t="s">
        <v>69</v>
      </c>
    </row>
    <row r="49">
      <c r="A49" s="276">
        <v>46137.107083333336</v>
      </c>
      <c r="B49" s="260" t="s">
        <v>308</v>
      </c>
      <c r="C49" s="260" t="s">
        <v>309</v>
      </c>
      <c r="D49" s="260" t="s">
        <v>351</v>
      </c>
      <c r="E49" s="260" t="s">
        <v>2</v>
      </c>
      <c r="F49" s="260" t="s">
        <v>321</v>
      </c>
      <c r="G49" s="277">
        <v>-37.5</v>
      </c>
      <c r="H49" s="273" t="s">
        <v>82</v>
      </c>
    </row>
    <row r="50">
      <c r="A50" s="276">
        <v>46137.282430555555</v>
      </c>
      <c r="B50" s="260" t="s">
        <v>316</v>
      </c>
      <c r="C50" s="260" t="s">
        <v>309</v>
      </c>
      <c r="D50" s="260" t="s">
        <v>352</v>
      </c>
      <c r="E50" s="260" t="s">
        <v>2</v>
      </c>
      <c r="F50" s="260" t="s">
        <v>339</v>
      </c>
      <c r="G50" s="277">
        <v>6.0</v>
      </c>
      <c r="H50" s="273" t="s">
        <v>69</v>
      </c>
    </row>
    <row r="51">
      <c r="A51" s="276">
        <v>46142.63783564815</v>
      </c>
      <c r="B51" s="260" t="s">
        <v>308</v>
      </c>
      <c r="C51" s="260" t="s">
        <v>309</v>
      </c>
      <c r="D51" s="260" t="s">
        <v>353</v>
      </c>
      <c r="E51" s="260" t="s">
        <v>2</v>
      </c>
      <c r="F51" s="260" t="s">
        <v>321</v>
      </c>
      <c r="G51" s="277">
        <v>-8.0</v>
      </c>
      <c r="H51" s="273" t="s">
        <v>136</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6.88"/>
    <col customWidth="1" min="4" max="4" width="18.88"/>
  </cols>
  <sheetData>
    <row r="1">
      <c r="A1" s="282" t="s">
        <v>196</v>
      </c>
      <c r="B1" s="282" t="s">
        <v>199</v>
      </c>
      <c r="C1" s="282" t="s">
        <v>354</v>
      </c>
      <c r="D1" s="282" t="s">
        <v>305</v>
      </c>
      <c r="E1" s="282" t="s">
        <v>355</v>
      </c>
    </row>
    <row r="2" ht="22.5" customHeight="1">
      <c r="A2" s="283">
        <v>46082.0</v>
      </c>
      <c r="B2" s="111" t="s">
        <v>59</v>
      </c>
      <c r="C2" s="111">
        <v>1327.0</v>
      </c>
      <c r="D2" s="274" t="s">
        <v>59</v>
      </c>
      <c r="E2" s="111" t="s">
        <v>356</v>
      </c>
    </row>
    <row r="3" ht="22.5" customHeight="1">
      <c r="A3" s="283">
        <v>46093.0</v>
      </c>
      <c r="B3" s="111" t="s">
        <v>69</v>
      </c>
      <c r="C3" s="111">
        <v>-64.84</v>
      </c>
      <c r="D3" s="274" t="s">
        <v>69</v>
      </c>
      <c r="E3" s="111" t="s">
        <v>357</v>
      </c>
    </row>
    <row r="4">
      <c r="A4" s="283">
        <v>46094.0</v>
      </c>
      <c r="B4" s="111" t="s">
        <v>69</v>
      </c>
      <c r="C4" s="111">
        <v>-4.74</v>
      </c>
      <c r="D4" s="274" t="s">
        <v>69</v>
      </c>
      <c r="E4" s="111" t="s">
        <v>357</v>
      </c>
    </row>
    <row r="5">
      <c r="A5" s="283">
        <v>46099.0</v>
      </c>
      <c r="B5" s="111" t="s">
        <v>69</v>
      </c>
      <c r="C5" s="111">
        <v>-46.05</v>
      </c>
      <c r="D5" s="274" t="s">
        <v>69</v>
      </c>
      <c r="E5" s="111" t="s">
        <v>357</v>
      </c>
    </row>
    <row r="6">
      <c r="A6" s="283">
        <v>46104.0</v>
      </c>
      <c r="B6" s="111" t="s">
        <v>69</v>
      </c>
      <c r="C6" s="111">
        <v>-44.81</v>
      </c>
      <c r="D6" s="274" t="s">
        <v>69</v>
      </c>
      <c r="E6" s="111" t="s">
        <v>357</v>
      </c>
    </row>
    <row r="7">
      <c r="A7" s="283">
        <v>46108.0</v>
      </c>
      <c r="B7" s="111" t="s">
        <v>69</v>
      </c>
      <c r="C7" s="111">
        <v>-6.99</v>
      </c>
      <c r="D7" s="274" t="s">
        <v>69</v>
      </c>
      <c r="E7" s="111" t="s">
        <v>357</v>
      </c>
    </row>
    <row r="8">
      <c r="A8" s="283">
        <v>46113.0</v>
      </c>
      <c r="B8" s="111" t="s">
        <v>69</v>
      </c>
      <c r="C8" s="111">
        <v>-94.73</v>
      </c>
      <c r="D8" s="274" t="s">
        <v>69</v>
      </c>
      <c r="E8" s="111" t="s">
        <v>357</v>
      </c>
    </row>
    <row r="9">
      <c r="A9" s="283">
        <v>46121.0</v>
      </c>
      <c r="B9" s="111" t="s">
        <v>69</v>
      </c>
      <c r="C9" s="111">
        <v>-64.19</v>
      </c>
      <c r="D9" s="274" t="s">
        <v>69</v>
      </c>
      <c r="E9" s="111" t="s">
        <v>357</v>
      </c>
    </row>
    <row r="10">
      <c r="A10" s="284">
        <v>46134.0</v>
      </c>
      <c r="B10" s="111" t="s">
        <v>69</v>
      </c>
      <c r="C10" s="111">
        <v>-68.23</v>
      </c>
      <c r="D10" s="274" t="s">
        <v>69</v>
      </c>
      <c r="E10" s="111" t="s">
        <v>357</v>
      </c>
    </row>
    <row r="11">
      <c r="A11" s="236">
        <v>46141.0</v>
      </c>
      <c r="B11" s="111" t="s">
        <v>69</v>
      </c>
      <c r="C11" s="111">
        <v>-18.0</v>
      </c>
      <c r="D11" s="274" t="s">
        <v>69</v>
      </c>
      <c r="E11" s="111" t="s">
        <v>357</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6.88"/>
    <col customWidth="1" min="2" max="2" width="15.75"/>
  </cols>
  <sheetData>
    <row r="1">
      <c r="A1" s="269" t="s">
        <v>358</v>
      </c>
      <c r="B1" s="269" t="s">
        <v>305</v>
      </c>
      <c r="C1" s="285"/>
    </row>
    <row r="2">
      <c r="A2" s="286" t="s">
        <v>72</v>
      </c>
      <c r="B2" s="286" t="s">
        <v>72</v>
      </c>
      <c r="C2" s="285"/>
    </row>
    <row r="3">
      <c r="A3" s="286" t="s">
        <v>119</v>
      </c>
      <c r="B3" s="286" t="s">
        <v>119</v>
      </c>
      <c r="C3" s="285"/>
    </row>
    <row r="4">
      <c r="A4" s="286" t="s">
        <v>205</v>
      </c>
      <c r="B4" s="286" t="s">
        <v>82</v>
      </c>
      <c r="C4" s="285"/>
    </row>
    <row r="5">
      <c r="A5" s="286" t="s">
        <v>207</v>
      </c>
      <c r="B5" s="286" t="s">
        <v>85</v>
      </c>
      <c r="C5" s="285"/>
    </row>
    <row r="6">
      <c r="A6" s="286" t="s">
        <v>213</v>
      </c>
      <c r="B6" s="286" t="s">
        <v>127</v>
      </c>
      <c r="C6" s="285"/>
    </row>
    <row r="7">
      <c r="A7" s="286" t="s">
        <v>136</v>
      </c>
      <c r="B7" s="286" t="s">
        <v>136</v>
      </c>
      <c r="C7" s="285"/>
    </row>
    <row r="8">
      <c r="A8" s="287" t="s">
        <v>248</v>
      </c>
      <c r="B8" s="286" t="s">
        <v>69</v>
      </c>
      <c r="C8" s="285"/>
    </row>
    <row r="9">
      <c r="A9" s="286" t="s">
        <v>87</v>
      </c>
      <c r="B9" s="286" t="s">
        <v>87</v>
      </c>
      <c r="C9" s="285"/>
    </row>
    <row r="10">
      <c r="A10" s="287" t="s">
        <v>122</v>
      </c>
      <c r="B10" s="287" t="s">
        <v>122</v>
      </c>
      <c r="C10" s="285"/>
    </row>
    <row r="11">
      <c r="A11" s="287" t="s">
        <v>139</v>
      </c>
      <c r="B11" s="287" t="s">
        <v>139</v>
      </c>
    </row>
    <row r="12">
      <c r="A12" s="286" t="s">
        <v>236</v>
      </c>
      <c r="B12" s="286" t="s">
        <v>236</v>
      </c>
    </row>
    <row r="13">
      <c r="A13" s="287" t="s">
        <v>253</v>
      </c>
      <c r="B13" s="286" t="s">
        <v>85</v>
      </c>
    </row>
    <row r="14">
      <c r="A14" s="287" t="s">
        <v>100</v>
      </c>
      <c r="B14" s="287" t="s">
        <v>100</v>
      </c>
    </row>
    <row r="15">
      <c r="A15" s="287" t="s">
        <v>251</v>
      </c>
      <c r="B15" s="287" t="s">
        <v>251</v>
      </c>
    </row>
    <row r="16">
      <c r="A16" s="287" t="s">
        <v>79</v>
      </c>
      <c r="B16" s="287" t="s">
        <v>79</v>
      </c>
    </row>
    <row r="17">
      <c r="A17" s="288" t="s">
        <v>59</v>
      </c>
      <c r="B17" s="288" t="s">
        <v>59</v>
      </c>
    </row>
    <row r="18">
      <c r="A18" s="288" t="s">
        <v>60</v>
      </c>
      <c r="B18" s="288" t="s">
        <v>60</v>
      </c>
    </row>
    <row r="19">
      <c r="A19" s="289" t="s">
        <v>123</v>
      </c>
      <c r="B19" s="289" t="s">
        <v>123</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4.13"/>
    <col customWidth="1" min="2" max="2" width="17.25"/>
    <col customWidth="1" min="3" max="3" width="22.63"/>
    <col customWidth="1" min="4" max="4" width="28.75"/>
    <col customWidth="1" min="6" max="6" width="56.88"/>
  </cols>
  <sheetData>
    <row r="1" ht="40.5" customHeight="1">
      <c r="A1" s="290" t="s">
        <v>359</v>
      </c>
      <c r="C1" s="291"/>
      <c r="D1" s="291"/>
      <c r="E1" s="292"/>
    </row>
    <row r="2">
      <c r="A2" s="293" t="s">
        <v>360</v>
      </c>
      <c r="B2" s="293" t="s">
        <v>199</v>
      </c>
      <c r="C2" s="293" t="s">
        <v>361</v>
      </c>
      <c r="D2" s="293" t="s">
        <v>362</v>
      </c>
      <c r="E2" s="231"/>
      <c r="F2" s="110" t="s">
        <v>363</v>
      </c>
    </row>
    <row r="3">
      <c r="A3" s="294" t="s">
        <v>364</v>
      </c>
      <c r="B3" s="295" t="s">
        <v>365</v>
      </c>
      <c r="C3" s="295" t="s">
        <v>366</v>
      </c>
      <c r="D3" s="295" t="s">
        <v>367</v>
      </c>
      <c r="E3" s="249"/>
      <c r="F3" s="111" t="s">
        <v>368</v>
      </c>
    </row>
    <row r="4">
      <c r="A4" s="294" t="s">
        <v>369</v>
      </c>
      <c r="B4" s="295" t="s">
        <v>370</v>
      </c>
      <c r="C4" s="295" t="s">
        <v>371</v>
      </c>
      <c r="D4" s="295" t="s">
        <v>372</v>
      </c>
      <c r="E4" s="249"/>
      <c r="F4" s="111" t="s">
        <v>373</v>
      </c>
    </row>
    <row r="5">
      <c r="A5" s="294" t="s">
        <v>374</v>
      </c>
      <c r="B5" s="295" t="s">
        <v>375</v>
      </c>
      <c r="C5" s="295" t="s">
        <v>376</v>
      </c>
      <c r="D5" s="295" t="s">
        <v>377</v>
      </c>
      <c r="E5" s="249"/>
    </row>
    <row r="6">
      <c r="A6" s="294" t="s">
        <v>378</v>
      </c>
      <c r="B6" s="296" t="s">
        <v>379</v>
      </c>
      <c r="C6" s="297" t="s">
        <v>380</v>
      </c>
      <c r="D6" s="296" t="s">
        <v>381</v>
      </c>
      <c r="E6" s="298"/>
    </row>
    <row r="7">
      <c r="A7" s="294" t="s">
        <v>382</v>
      </c>
      <c r="B7" s="296" t="s">
        <v>383</v>
      </c>
      <c r="C7" s="296" t="s">
        <v>384</v>
      </c>
      <c r="D7" s="296" t="s">
        <v>385</v>
      </c>
      <c r="E7" s="298"/>
    </row>
    <row r="8">
      <c r="A8" s="294" t="s">
        <v>386</v>
      </c>
      <c r="B8" s="297" t="s">
        <v>387</v>
      </c>
      <c r="C8" s="296" t="s">
        <v>388</v>
      </c>
      <c r="D8" s="296" t="s">
        <v>389</v>
      </c>
      <c r="E8" s="298"/>
    </row>
    <row r="9">
      <c r="A9" s="294" t="s">
        <v>390</v>
      </c>
      <c r="B9" s="299" t="s">
        <v>391</v>
      </c>
      <c r="C9" s="300" t="s">
        <v>392</v>
      </c>
      <c r="D9" s="299" t="s">
        <v>393</v>
      </c>
      <c r="E9" s="231"/>
    </row>
    <row r="10">
      <c r="A10" s="294" t="s">
        <v>394</v>
      </c>
      <c r="B10" s="301" t="s">
        <v>395</v>
      </c>
      <c r="C10" s="301" t="s">
        <v>396</v>
      </c>
      <c r="D10" s="301" t="s">
        <v>397</v>
      </c>
      <c r="E10" s="92"/>
    </row>
  </sheetData>
  <mergeCells count="1">
    <mergeCell ref="A1:B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sheetData>
    <row r="1" ht="27.0" customHeight="1">
      <c r="A1" s="302" t="s">
        <v>170</v>
      </c>
      <c r="B1" s="302" t="s">
        <v>171</v>
      </c>
      <c r="C1" s="302" t="s">
        <v>398</v>
      </c>
      <c r="D1" s="302" t="s">
        <v>177</v>
      </c>
      <c r="E1" s="302" t="s">
        <v>399</v>
      </c>
      <c r="F1" s="302" t="s">
        <v>179</v>
      </c>
      <c r="G1" s="302" t="s">
        <v>400</v>
      </c>
      <c r="H1" s="302" t="s">
        <v>181</v>
      </c>
      <c r="I1" s="302" t="s">
        <v>401</v>
      </c>
      <c r="J1" s="302" t="s">
        <v>183</v>
      </c>
    </row>
    <row r="2">
      <c r="A2" s="10" t="str">
        <f>IFERROR(__xludf.DUMMYFUNCTION("SORT(UNIQUE(FILTER('Living Expenses'!J2:J1000,'Living Expenses'!J2:J1000&lt;&gt;"""")))"),"AI Fees")</f>
        <v>AI Fees</v>
      </c>
      <c r="B2">
        <f>IFERROR(VLOOKUP(A2,'Living Expenses'!J:K,2,FALSE),0)</f>
        <v>10</v>
      </c>
      <c r="C2">
        <f>ABS(SUMIFS(
  'All Transactions'!C:C,
  'All Transactions'!D:D, $A2,
  'All Transactions'!A:A, "&gt;="&amp;DATE(2026,3,1),
  'All Transactions'!A:A, "&lt;="&amp;EOMONTH(DATE(2026,3,1),0)
))</f>
        <v>2.03</v>
      </c>
      <c r="D2">
        <f t="shared" ref="D2:D20" si="1">B2-$C2</f>
        <v>7.97</v>
      </c>
      <c r="E2">
        <f>ABS(SUMIFS(
  'All Transactions'!C:C,
  'All Transactions'!D:D, $A2,
  'All Transactions'!A:A, "&gt;="&amp;DATE(2026,4,1),
  'All Transactions'!A:A, "&lt;="&amp;EOMONTH(DATE(2026,4,1),0)
))</f>
        <v>0</v>
      </c>
      <c r="F2">
        <f t="shared" ref="F2:F17" si="2">B2-$E2</f>
        <v>10</v>
      </c>
      <c r="G2">
        <f>ABS(SUMIFS(
  'All Transactions'!G:G,
  'All Transactions'!H:H, $A2,
  'All Transactions'!E:E, "&gt;="&amp;DATE(2026,5,1),
  'All Transactions'!E:E, "&lt;="&amp;EOMONTH(DATE(2026,5,1),0)
))</f>
        <v>0</v>
      </c>
      <c r="H2">
        <f t="shared" ref="H2:H17" si="3">F2-$C2</f>
        <v>7.97</v>
      </c>
      <c r="I2">
        <f>ABS(SUMIFS(
  'All Transactions'!G:G,
  'All Transactions'!H:H, $A2,
  'All Transactions'!E:E, "&gt;="&amp;DATE(2026,4,1),
  'All Transactions'!E:E, "&lt;="&amp;EOMONTH(DATE(2026,4,1),0)
))</f>
        <v>0</v>
      </c>
      <c r="J2">
        <f t="shared" ref="J2:J17" si="4">F2-$E2</f>
        <v>10</v>
      </c>
    </row>
    <row r="3">
      <c r="A3" s="17" t="str">
        <f>IFERROR(__xludf.DUMMYFUNCTION("""COMPUTED_VALUE"""),"Bar/ Alcohol")</f>
        <v>Bar/ Alcohol</v>
      </c>
      <c r="B3">
        <f>IFERROR(VLOOKUP(A3,'Living Expenses'!J:K,2,FALSE),0)</f>
        <v>100</v>
      </c>
      <c r="C3">
        <f>ABS(SUMIFS(
  'All Transactions'!C:C,
  'All Transactions'!D:D, $A3,
  'All Transactions'!A:A, "&gt;="&amp;DATE(2026,3,1),
  'All Transactions'!A:A, "&lt;="&amp;EOMONTH(DATE(2026,3,1),0)
))</f>
        <v>56.73</v>
      </c>
      <c r="D3">
        <f t="shared" si="1"/>
        <v>43.27</v>
      </c>
      <c r="E3">
        <f>ABS(SUMIFS(
  'All Transactions'!C:C,
  'All Transactions'!D:D, $A3,
  'All Transactions'!A:A, "&gt;="&amp;DATE(2026,4,1),
  'All Transactions'!A:A, "&lt;="&amp;EOMONTH(DATE(2026,4,1),0)
))</f>
        <v>0</v>
      </c>
      <c r="F3">
        <f t="shared" si="2"/>
        <v>100</v>
      </c>
      <c r="G3">
        <f>ABS(SUMIFS(
  'All Transactions'!G:G,
  'All Transactions'!H:H, $A3,
  'All Transactions'!E:E, "&gt;="&amp;DATE(2026,3,1),
  'All Transactions'!E:E, "&lt;="&amp;EOMONTH(DATE(2026,3,1),0)
))</f>
        <v>0</v>
      </c>
      <c r="H3">
        <f t="shared" si="3"/>
        <v>43.27</v>
      </c>
      <c r="I3">
        <f>ABS(SUMIFS(
  'All Transactions'!G:G,
  'All Transactions'!H:H, $A3,
  'All Transactions'!E:E, "&gt;="&amp;DATE(2026,4,1),
  'All Transactions'!E:E, "&lt;="&amp;EOMONTH(DATE(2026,4,1),0)
))</f>
        <v>0</v>
      </c>
      <c r="J3">
        <f t="shared" si="4"/>
        <v>100</v>
      </c>
    </row>
    <row r="4">
      <c r="A4" s="17" t="str">
        <f>IFERROR(__xludf.DUMMYFUNCTION("""COMPUTED_VALUE"""),"Business Expenses")</f>
        <v>Business Expenses</v>
      </c>
      <c r="B4">
        <f>IFERROR(VLOOKUP(A4,'Living Expenses'!J:K,2,FALSE),0)</f>
        <v>84</v>
      </c>
      <c r="C4">
        <f>ABS(SUMIFS(
  'All Transactions'!C:C,
  'All Transactions'!D:D, $A4,
  'All Transactions'!A:A, "&gt;="&amp;DATE(2026,3,1),
  'All Transactions'!A:A, "&lt;="&amp;EOMONTH(DATE(2026,3,1),0)
))</f>
        <v>155.96</v>
      </c>
      <c r="D4">
        <f t="shared" si="1"/>
        <v>-71.96</v>
      </c>
      <c r="E4">
        <f>ABS(SUMIFS(
  'All Transactions'!C:C,
  'All Transactions'!D:D, $A4,
  'All Transactions'!A:A, "&gt;="&amp;DATE(2026,4,1),
  'All Transactions'!A:A, "&lt;="&amp;EOMONTH(DATE(2026,4,1),0)
))</f>
        <v>509.19</v>
      </c>
      <c r="F4">
        <f t="shared" si="2"/>
        <v>-425.19</v>
      </c>
      <c r="G4">
        <f>ABS(SUMIFS(
  'All Transactions'!G:G,
  'All Transactions'!H:H, $A4,
  'All Transactions'!E:E, "&gt;="&amp;DATE(2026,3,1),
  'All Transactions'!E:E, "&lt;="&amp;EOMONTH(DATE(2026,3,1),0)
))</f>
        <v>0</v>
      </c>
      <c r="H4">
        <f t="shared" si="3"/>
        <v>-581.15</v>
      </c>
      <c r="I4">
        <f>ABS(SUMIFS(
  'All Transactions'!G:G,
  'All Transactions'!H:H, $A4,
  'All Transactions'!E:E, "&gt;="&amp;DATE(2026,4,1),
  'All Transactions'!E:E, "&lt;="&amp;EOMONTH(DATE(2026,4,1),0)
))</f>
        <v>0</v>
      </c>
      <c r="J4">
        <f t="shared" si="4"/>
        <v>-934.38</v>
      </c>
    </row>
    <row r="5">
      <c r="A5" s="10" t="str">
        <f>IFERROR(__xludf.DUMMYFUNCTION("""COMPUTED_VALUE"""),"Coffee")</f>
        <v>Coffee</v>
      </c>
      <c r="B5">
        <f>IFERROR(VLOOKUP(A5,'Living Expenses'!J:K,2,FALSE),0)</f>
        <v>84</v>
      </c>
      <c r="C5">
        <f>ABS(SUMIFS(
  'All Transactions'!C:C,
  'All Transactions'!D:D, $A5,
  'All Transactions'!A:A, "&gt;="&amp;DATE(2026,3,1),
  'All Transactions'!A:A, "&lt;="&amp;EOMONTH(DATE(2026,3,1),0)
))</f>
        <v>30.18</v>
      </c>
      <c r="D5">
        <f t="shared" si="1"/>
        <v>53.82</v>
      </c>
      <c r="E5">
        <f>ABS(SUMIFS(
  'All Transactions'!C:C,
  'All Transactions'!D:D, $A5,
  'All Transactions'!A:A, "&gt;="&amp;DATE(2026,4,1),
  'All Transactions'!A:A, "&lt;="&amp;EOMONTH(DATE(2026,4,1),0)
))</f>
        <v>36.49</v>
      </c>
      <c r="F5">
        <f t="shared" si="2"/>
        <v>47.51</v>
      </c>
      <c r="G5">
        <f>ABS(SUMIFS(
  'All Transactions'!G:G,
  'All Transactions'!H:H, $A5,
  'All Transactions'!E:E, "&gt;="&amp;DATE(2026,3,1),
  'All Transactions'!E:E, "&lt;="&amp;EOMONTH(DATE(2026,3,1),0)
))</f>
        <v>0</v>
      </c>
      <c r="H5">
        <f t="shared" si="3"/>
        <v>17.33</v>
      </c>
      <c r="I5">
        <f>ABS(SUMIFS(
  'All Transactions'!G:G,
  'All Transactions'!H:H, $A5,
  'All Transactions'!E:E, "&gt;="&amp;DATE(2026,4,1),
  'All Transactions'!E:E, "&lt;="&amp;EOMONTH(DATE(2026,4,1),0)
))</f>
        <v>0</v>
      </c>
      <c r="J5">
        <f t="shared" si="4"/>
        <v>11.02</v>
      </c>
    </row>
    <row r="6">
      <c r="A6" t="str">
        <f>IFERROR(__xludf.DUMMYFUNCTION("""COMPUTED_VALUE"""),"Dining")</f>
        <v>Dining</v>
      </c>
      <c r="B6">
        <f>IFERROR(VLOOKUP(A6,'Living Expenses'!J:K,2,FALSE),0)</f>
        <v>320</v>
      </c>
      <c r="C6">
        <f>ABS(SUMIFS(
  'All Transactions'!C:C,
  'All Transactions'!D:D, $A6,
  'All Transactions'!A:A, "&gt;="&amp;DATE(2026,3,1),
  'All Transactions'!A:A, "&lt;="&amp;EOMONTH(DATE(2026,3,1),0)
))</f>
        <v>88.79</v>
      </c>
      <c r="D6">
        <f t="shared" si="1"/>
        <v>231.21</v>
      </c>
      <c r="E6">
        <f>ABS(SUMIFS(
  'All Transactions'!C:C,
  'All Transactions'!D:D, $A6,
  'All Transactions'!A:A, "&gt;="&amp;DATE(2026,4,1),
  'All Transactions'!A:A, "&lt;="&amp;EOMONTH(DATE(2026,4,1),0)
))</f>
        <v>87.71</v>
      </c>
      <c r="F6">
        <f t="shared" si="2"/>
        <v>232.29</v>
      </c>
      <c r="G6">
        <f>ABS(SUMIFS(
  'All Transactions'!G:G,
  'All Transactions'!H:H, $A6,
  'All Transactions'!E:E, "&gt;="&amp;DATE(2026,3,1),
  'All Transactions'!E:E, "&lt;="&amp;EOMONTH(DATE(2026,3,1),0)
))</f>
        <v>0</v>
      </c>
      <c r="H6">
        <f t="shared" si="3"/>
        <v>143.5</v>
      </c>
      <c r="I6">
        <f>ABS(SUMIFS(
  'All Transactions'!G:G,
  'All Transactions'!H:H, $A6,
  'All Transactions'!E:E, "&gt;="&amp;DATE(2026,4,1),
  'All Transactions'!E:E, "&lt;="&amp;EOMONTH(DATE(2026,4,1),0)
))</f>
        <v>0</v>
      </c>
      <c r="J6">
        <f t="shared" si="4"/>
        <v>144.58</v>
      </c>
    </row>
    <row r="7">
      <c r="A7" t="str">
        <f>IFERROR(__xludf.DUMMYFUNCTION("""COMPUTED_VALUE"""),"Entertainment")</f>
        <v>Entertainment</v>
      </c>
      <c r="B7">
        <f>IFERROR(VLOOKUP(A7,'Living Expenses'!J:K,2,FALSE),0)</f>
        <v>47.5</v>
      </c>
      <c r="C7">
        <f>ABS(SUMIFS(
  'All Transactions'!C:C,
  'All Transactions'!D:D, $A7,
  'All Transactions'!A:A, "&gt;="&amp;DATE(2026,3,1),
  'All Transactions'!A:A, "&lt;="&amp;EOMONTH(DATE(2026,3,1),0)
))</f>
        <v>127.99</v>
      </c>
      <c r="D7">
        <f t="shared" si="1"/>
        <v>-80.49</v>
      </c>
      <c r="E7">
        <f>ABS(SUMIFS(
  'All Transactions'!C:C,
  'All Transactions'!D:D, $A7,
  'All Transactions'!A:A, "&gt;="&amp;DATE(2026,4,1),
  'All Transactions'!A:A, "&lt;="&amp;EOMONTH(DATE(2026,4,1),0)
))</f>
        <v>34.75</v>
      </c>
      <c r="F7">
        <f t="shared" si="2"/>
        <v>12.75</v>
      </c>
      <c r="G7">
        <f>ABS(SUMIFS(
  'All Transactions'!G:G,
  'All Transactions'!H:H, $A7,
  'All Transactions'!E:E, "&gt;="&amp;DATE(2026,3,1),
  'All Transactions'!E:E, "&lt;="&amp;EOMONTH(DATE(2026,3,1),0)
))</f>
        <v>0</v>
      </c>
      <c r="H7">
        <f t="shared" si="3"/>
        <v>-115.24</v>
      </c>
      <c r="I7">
        <f>ABS(SUMIFS(
  'All Transactions'!G:G,
  'All Transactions'!H:H, $A7,
  'All Transactions'!E:E, "&gt;="&amp;DATE(2026,4,1),
  'All Transactions'!E:E, "&lt;="&amp;EOMONTH(DATE(2026,4,1),0)
))</f>
        <v>0</v>
      </c>
      <c r="J7">
        <f t="shared" si="4"/>
        <v>-22</v>
      </c>
    </row>
    <row r="8">
      <c r="A8" t="str">
        <f>IFERROR(__xludf.DUMMYFUNCTION("""COMPUTED_VALUE"""),"Groceries")</f>
        <v>Groceries</v>
      </c>
      <c r="B8">
        <f>IFERROR(VLOOKUP(A8,'Living Expenses'!J:K,2,FALSE),0)</f>
        <v>500</v>
      </c>
      <c r="C8">
        <f>ABS(SUMIFS(
  'All Transactions'!C:C,
  'All Transactions'!D:D, $A8,
  'All Transactions'!A:A, "&gt;="&amp;DATE(2026,3,1),
  'All Transactions'!A:A, "&lt;="&amp;EOMONTH(DATE(2026,3,1),0)
))</f>
        <v>220.72</v>
      </c>
      <c r="D8">
        <f t="shared" si="1"/>
        <v>279.28</v>
      </c>
      <c r="E8">
        <f>ABS(SUMIFS(
  'All Transactions'!C:C,
  'All Transactions'!D:D, $A8,
  'All Transactions'!A:A, "&gt;="&amp;DATE(2026,4,1),
  'All Transactions'!A:A, "&lt;="&amp;EOMONTH(DATE(2026,4,1),0)
))</f>
        <v>372.32</v>
      </c>
      <c r="F8">
        <f t="shared" si="2"/>
        <v>127.68</v>
      </c>
      <c r="G8">
        <f>ABS(SUMIFS(
  'All Transactions'!G:G,
  'All Transactions'!H:H, $A8,
  'All Transactions'!E:E, "&gt;="&amp;DATE(2026,3,1),
  'All Transactions'!E:E, "&lt;="&amp;EOMONTH(DATE(2026,3,1),0)
))</f>
        <v>0</v>
      </c>
      <c r="H8">
        <f t="shared" si="3"/>
        <v>-93.04</v>
      </c>
      <c r="I8">
        <f>ABS(SUMIFS(
  'All Transactions'!G:G,
  'All Transactions'!H:H, $A8,
  'All Transactions'!E:E, "&gt;="&amp;DATE(2026,4,1),
  'All Transactions'!E:E, "&lt;="&amp;EOMONTH(DATE(2026,4,1),0)
))</f>
        <v>0</v>
      </c>
      <c r="J8">
        <f t="shared" si="4"/>
        <v>-244.64</v>
      </c>
    </row>
    <row r="9">
      <c r="A9" t="str">
        <f>IFERROR(__xludf.DUMMYFUNCTION("""COMPUTED_VALUE"""),"Insurance")</f>
        <v>Insurance</v>
      </c>
      <c r="B9">
        <f>IFERROR(VLOOKUP(A9,'Living Expenses'!J:K,2,FALSE),0)</f>
        <v>23</v>
      </c>
      <c r="C9">
        <f>ABS(SUMIFS(
  'All Transactions'!C:C,
  'All Transactions'!D:D, $A9,
  'All Transactions'!A:A, "&gt;="&amp;DATE(2026,3,1),
  'All Transactions'!A:A, "&lt;="&amp;EOMONTH(DATE(2026,3,1),0)
))</f>
        <v>366</v>
      </c>
      <c r="D9">
        <f t="shared" si="1"/>
        <v>-343</v>
      </c>
      <c r="E9">
        <f>ABS(SUMIFS(
  'All Transactions'!C:C,
  'All Transactions'!D:D, $A9,
  'All Transactions'!A:A, "&gt;="&amp;DATE(2026,4,1),
  'All Transactions'!A:A, "&lt;="&amp;EOMONTH(DATE(2026,4,1),0)
))</f>
        <v>0</v>
      </c>
      <c r="F9">
        <f t="shared" si="2"/>
        <v>23</v>
      </c>
      <c r="G9">
        <f>ABS(SUMIFS(
  'All Transactions'!G:G,
  'All Transactions'!H:H, $A9,
  'All Transactions'!E:E, "&gt;="&amp;DATE(2026,3,1),
  'All Transactions'!E:E, "&lt;="&amp;EOMONTH(DATE(2026,3,1),0)
))</f>
        <v>0</v>
      </c>
      <c r="H9">
        <f t="shared" si="3"/>
        <v>-343</v>
      </c>
      <c r="I9">
        <f>ABS(SUMIFS(
  'All Transactions'!G:G,
  'All Transactions'!H:H, $A9,
  'All Transactions'!E:E, "&gt;="&amp;DATE(2026,4,1),
  'All Transactions'!E:E, "&lt;="&amp;EOMONTH(DATE(2026,4,1),0)
))</f>
        <v>0</v>
      </c>
      <c r="J9">
        <f t="shared" si="4"/>
        <v>23</v>
      </c>
    </row>
    <row r="10">
      <c r="A10" t="str">
        <f>IFERROR(__xludf.DUMMYFUNCTION("""COMPUTED_VALUE"""),"Misc")</f>
        <v>Misc</v>
      </c>
      <c r="B10">
        <f>IFERROR(VLOOKUP(A10,'Living Expenses'!J:K,2,FALSE),0)</f>
        <v>30</v>
      </c>
      <c r="C10">
        <f>ABS(SUMIFS(
  'All Transactions'!C:C,
  'All Transactions'!D:D, $A10,
  'All Transactions'!A:A, "&gt;="&amp;DATE(2026,3,1),
  'All Transactions'!A:A, "&lt;="&amp;EOMONTH(DATE(2026,3,1),0)
))</f>
        <v>34.51</v>
      </c>
      <c r="D10">
        <f t="shared" si="1"/>
        <v>-4.51</v>
      </c>
      <c r="E10">
        <f>ABS(SUMIFS(
  'All Transactions'!C:C,
  'All Transactions'!D:D, $A10,
  'All Transactions'!A:A, "&gt;="&amp;DATE(2026,4,1),
  'All Transactions'!A:A, "&lt;="&amp;EOMONTH(DATE(2026,4,1),0)
))</f>
        <v>0</v>
      </c>
      <c r="F10">
        <f t="shared" si="2"/>
        <v>30</v>
      </c>
      <c r="G10">
        <f>ABS(SUMIFS(
  'All Transactions'!G:G,
  'All Transactions'!H:H, $A10,
  'All Transactions'!E:E, "&gt;="&amp;DATE(2026,3,1),
  'All Transactions'!E:E, "&lt;="&amp;EOMONTH(DATE(2026,3,1),0)
))</f>
        <v>0</v>
      </c>
      <c r="H10">
        <f t="shared" si="3"/>
        <v>-4.51</v>
      </c>
      <c r="I10">
        <f>ABS(SUMIFS(
  'All Transactions'!G:G,
  'All Transactions'!H:H, $A10,
  'All Transactions'!E:E, "&gt;="&amp;DATE(2026,4,1),
  'All Transactions'!E:E, "&lt;="&amp;EOMONTH(DATE(2026,4,1),0)
))</f>
        <v>0</v>
      </c>
      <c r="J10">
        <f t="shared" si="4"/>
        <v>30</v>
      </c>
    </row>
    <row r="11">
      <c r="A11" t="str">
        <f>IFERROR(__xludf.DUMMYFUNCTION("""COMPUTED_VALUE"""),"Other Services")</f>
        <v>Other Services</v>
      </c>
      <c r="B11">
        <f>IFERROR(VLOOKUP(A11,'Living Expenses'!J:K,2,FALSE),0)</f>
        <v>18</v>
      </c>
      <c r="C11">
        <f>ABS(SUMIFS(
  'All Transactions'!C:C,
  'All Transactions'!D:D, $A11,
  'All Transactions'!A:A, "&gt;="&amp;DATE(2026,3,1),
  'All Transactions'!A:A, "&lt;="&amp;EOMONTH(DATE(2026,3,1),0)
))</f>
        <v>1.25</v>
      </c>
      <c r="D11">
        <f t="shared" si="1"/>
        <v>16.75</v>
      </c>
      <c r="E11">
        <f>ABS(SUMIFS(
  'All Transactions'!C:C,
  'All Transactions'!D:D, $A11,
  'All Transactions'!A:A, "&gt;="&amp;DATE(2026,4,1),
  'All Transactions'!A:A, "&lt;="&amp;EOMONTH(DATE(2026,4,1),0)
))</f>
        <v>6.37</v>
      </c>
      <c r="F11">
        <f t="shared" si="2"/>
        <v>11.63</v>
      </c>
      <c r="G11">
        <f>ABS(SUMIFS(
  'All Transactions'!G:G,
  'All Transactions'!H:H, $A11,
  'All Transactions'!E:E, "&gt;="&amp;DATE(2026,3,1),
  'All Transactions'!E:E, "&lt;="&amp;EOMONTH(DATE(2026,3,1),0)
))</f>
        <v>0</v>
      </c>
      <c r="H11">
        <f t="shared" si="3"/>
        <v>10.38</v>
      </c>
      <c r="I11">
        <f>ABS(SUMIFS(
  'All Transactions'!G:G,
  'All Transactions'!H:H, $A11,
  'All Transactions'!E:E, "&gt;="&amp;DATE(2026,4,1),
  'All Transactions'!E:E, "&lt;="&amp;EOMONTH(DATE(2026,4,1),0)
))</f>
        <v>0</v>
      </c>
      <c r="J11">
        <f t="shared" si="4"/>
        <v>5.26</v>
      </c>
    </row>
    <row r="12">
      <c r="A12" s="98" t="str">
        <f>IFERROR(__xludf.DUMMYFUNCTION("""COMPUTED_VALUE"""),"Rent")</f>
        <v>Rent</v>
      </c>
      <c r="B12">
        <f>IFERROR(VLOOKUP(A12,'Living Expenses'!J:K,2,FALSE),0)</f>
        <v>1327</v>
      </c>
      <c r="C12">
        <f>ABS(SUMIFS(
  'All Transactions'!C:C,
  'All Transactions'!D:D, $A12,
  'All Transactions'!A:A, "&gt;="&amp;DATE(2026,3,1),
  'All Transactions'!A:A, "&lt;="&amp;EOMONTH(DATE(2026,3,1),0)
))</f>
        <v>1327</v>
      </c>
      <c r="D12">
        <f t="shared" si="1"/>
        <v>0</v>
      </c>
      <c r="E12">
        <f>ABS(SUMIFS(
  'All Transactions'!C:C,
  'All Transactions'!D:D, $A12,
  'All Transactions'!A:A, "&gt;="&amp;DATE(2026,4,1),
  'All Transactions'!A:A, "&lt;="&amp;EOMONTH(DATE(2026,4,1),0)
))</f>
        <v>1327</v>
      </c>
      <c r="F12">
        <f t="shared" si="2"/>
        <v>0</v>
      </c>
      <c r="G12">
        <f>ABS(SUMIFS(
  'All Transactions'!G:G,
  'All Transactions'!H:H, $A12,
  'All Transactions'!E:E, "&gt;="&amp;DATE(2026,3,1),
  'All Transactions'!E:E, "&lt;="&amp;EOMONTH(DATE(2026,3,1),0)
))</f>
        <v>0</v>
      </c>
      <c r="H12">
        <f t="shared" si="3"/>
        <v>-1327</v>
      </c>
      <c r="I12">
        <f>ABS(SUMIFS(
  'All Transactions'!G:G,
  'All Transactions'!H:H, $A12,
  'All Transactions'!E:E, "&gt;="&amp;DATE(2026,4,1),
  'All Transactions'!E:E, "&lt;="&amp;EOMONTH(DATE(2026,4,1),0)
))</f>
        <v>0</v>
      </c>
      <c r="J12">
        <f t="shared" si="4"/>
        <v>-1327</v>
      </c>
    </row>
    <row r="13">
      <c r="A13" s="98" t="str">
        <f>IFERROR(__xludf.DUMMYFUNCTION("""COMPUTED_VALUE"""),"Shopping")</f>
        <v>Shopping</v>
      </c>
      <c r="B13">
        <f>IFERROR(VLOOKUP(A13,'Living Expenses'!J:K,2,FALSE),0)</f>
        <v>97</v>
      </c>
      <c r="C13">
        <f>ABS(SUMIFS(
  'All Transactions'!C:C,
  'All Transactions'!D:D, $A13,
  'All Transactions'!A:A, "&gt;="&amp;DATE(2026,3,1),
  'All Transactions'!A:A, "&lt;="&amp;EOMONTH(DATE(2026,3,1),0)
))</f>
        <v>439.26</v>
      </c>
      <c r="D13">
        <f t="shared" si="1"/>
        <v>-342.26</v>
      </c>
      <c r="E13">
        <f>ABS(SUMIFS(
  'All Transactions'!C:C,
  'All Transactions'!D:D, $A13,
  'All Transactions'!A:A, "&gt;="&amp;DATE(2026,4,1),
  'All Transactions'!A:A, "&lt;="&amp;EOMONTH(DATE(2026,4,1),0)
))</f>
        <v>333.56</v>
      </c>
      <c r="F13">
        <f t="shared" si="2"/>
        <v>-236.56</v>
      </c>
      <c r="G13">
        <f>ABS(SUMIFS(
  'All Transactions'!G:G,
  'All Transactions'!H:H, $A13,
  'All Transactions'!E:E, "&gt;="&amp;DATE(2026,3,1),
  'All Transactions'!E:E, "&lt;="&amp;EOMONTH(DATE(2026,3,1),0)
))</f>
        <v>0</v>
      </c>
      <c r="H13">
        <f t="shared" si="3"/>
        <v>-675.82</v>
      </c>
      <c r="I13">
        <f>ABS(SUMIFS(
  'All Transactions'!G:G,
  'All Transactions'!H:H, $A13,
  'All Transactions'!E:E, "&gt;="&amp;DATE(2026,4,1),
  'All Transactions'!E:E, "&lt;="&amp;EOMONTH(DATE(2026,4,1),0)
))</f>
        <v>0</v>
      </c>
      <c r="J13">
        <f t="shared" si="4"/>
        <v>-570.12</v>
      </c>
    </row>
    <row r="14">
      <c r="A14" s="98" t="str">
        <f>IFERROR(__xludf.DUMMYFUNCTION("""COMPUTED_VALUE"""),"Subscriptions")</f>
        <v>Subscriptions</v>
      </c>
      <c r="B14">
        <f>IFERROR(VLOOKUP(A14,'Living Expenses'!J:K,2,FALSE),0)</f>
        <v>132</v>
      </c>
      <c r="C14">
        <f>ABS(SUMIFS(
  'All Transactions'!C:C,
  'All Transactions'!D:D, $A14,
  'All Transactions'!A:A, "&gt;="&amp;DATE(2026,3,1),
  'All Transactions'!A:A, "&lt;="&amp;EOMONTH(DATE(2026,3,1),0)
))</f>
        <v>39.99</v>
      </c>
      <c r="D14">
        <f t="shared" si="1"/>
        <v>92.01</v>
      </c>
      <c r="E14">
        <f>ABS(SUMIFS(
  'All Transactions'!C:C,
  'All Transactions'!D:D, $A14,
  'All Transactions'!A:A, "&gt;="&amp;DATE(2026,4,1),
  'All Transactions'!A:A, "&lt;="&amp;EOMONTH(DATE(2026,4,1),0)
))</f>
        <v>81.84</v>
      </c>
      <c r="F14">
        <f t="shared" si="2"/>
        <v>50.16</v>
      </c>
      <c r="G14">
        <f>ABS(SUMIFS(
  'All Transactions'!G:G,
  'All Transactions'!H:H, $A14,
  'All Transactions'!E:E, "&gt;="&amp;DATE(2026,3,1),
  'All Transactions'!E:E, "&lt;="&amp;EOMONTH(DATE(2026,3,1),0)
))</f>
        <v>0</v>
      </c>
      <c r="H14">
        <f t="shared" si="3"/>
        <v>10.17</v>
      </c>
      <c r="I14">
        <f>ABS(SUMIFS(
  'All Transactions'!G:G,
  'All Transactions'!H:H, $A14,
  'All Transactions'!E:E, "&gt;="&amp;DATE(2026,4,1),
  'All Transactions'!E:E, "&lt;="&amp;EOMONTH(DATE(2026,4,1),0)
))</f>
        <v>0</v>
      </c>
      <c r="J14">
        <f t="shared" si="4"/>
        <v>-31.68</v>
      </c>
    </row>
    <row r="15">
      <c r="A15" s="98" t="str">
        <f>IFERROR(__xludf.DUMMYFUNCTION("""COMPUTED_VALUE"""),"Transportation")</f>
        <v>Transportation</v>
      </c>
      <c r="B15">
        <f>IFERROR(VLOOKUP(A15,'Living Expenses'!J:K,2,FALSE),0)</f>
        <v>25</v>
      </c>
      <c r="C15">
        <f>ABS(SUMIFS(
  'All Transactions'!C:C,
  'All Transactions'!D:D, $A15,
  'All Transactions'!A:A, "&gt;="&amp;DATE(2026,3,1),
  'All Transactions'!A:A, "&lt;="&amp;EOMONTH(DATE(2026,3,1),0)
))</f>
        <v>214.42</v>
      </c>
      <c r="D15">
        <f t="shared" si="1"/>
        <v>-189.42</v>
      </c>
      <c r="E15">
        <f>ABS(SUMIFS(
  'All Transactions'!C:C,
  'All Transactions'!D:D, $A15,
  'All Transactions'!A:A, "&gt;="&amp;DATE(2026,4,1),
  'All Transactions'!A:A, "&lt;="&amp;EOMONTH(DATE(2026,4,1),0)
))</f>
        <v>93.23</v>
      </c>
      <c r="F15">
        <f t="shared" si="2"/>
        <v>-68.23</v>
      </c>
      <c r="G15">
        <f>ABS(SUMIFS(
  'All Transactions'!G:G,
  'All Transactions'!H:H, $A15,
  'All Transactions'!E:E, "&gt;="&amp;DATE(2026,3,1),
  'All Transactions'!E:E, "&lt;="&amp;EOMONTH(DATE(2026,3,1),0)
))</f>
        <v>0</v>
      </c>
      <c r="H15">
        <f t="shared" si="3"/>
        <v>-282.65</v>
      </c>
      <c r="I15">
        <f>ABS(SUMIFS(
  'All Transactions'!G:G,
  'All Transactions'!H:H, $A15,
  'All Transactions'!E:E, "&gt;="&amp;DATE(2026,4,1),
  'All Transactions'!E:E, "&lt;="&amp;EOMONTH(DATE(2026,4,1),0)
))</f>
        <v>0</v>
      </c>
      <c r="J15">
        <f t="shared" si="4"/>
        <v>-161.46</v>
      </c>
    </row>
    <row r="16">
      <c r="A16" s="98" t="str">
        <f>IFERROR(__xludf.DUMMYFUNCTION("""COMPUTED_VALUE"""),"Travel")</f>
        <v>Travel</v>
      </c>
      <c r="B16">
        <f>IFERROR(VLOOKUP(A16,'Living Expenses'!J:K,2,FALSE),0)</f>
        <v>142</v>
      </c>
      <c r="C16">
        <f>ABS(SUMIFS(
  'All Transactions'!C:C,
  'All Transactions'!D:D, $A16,
  'All Transactions'!A:A, "&gt;="&amp;DATE(2026,3,1),
  'All Transactions'!A:A, "&lt;="&amp;EOMONTH(DATE(2026,3,1),0)
))</f>
        <v>0</v>
      </c>
      <c r="D16">
        <f t="shared" si="1"/>
        <v>142</v>
      </c>
      <c r="E16">
        <f>ABS(SUMIFS(
  'All Transactions'!C:C,
  'All Transactions'!D:D, $A16,
  'All Transactions'!A:A, "&gt;="&amp;DATE(2026,4,1),
  'All Transactions'!A:A, "&lt;="&amp;EOMONTH(DATE(2026,4,1),0)
))</f>
        <v>0</v>
      </c>
      <c r="F16">
        <f t="shared" si="2"/>
        <v>142</v>
      </c>
      <c r="G16">
        <f>ABS(SUMIFS(
  'All Transactions'!G:G,
  'All Transactions'!H:H, $A16,
  'All Transactions'!E:E, "&gt;="&amp;DATE(2026,3,1),
  'All Transactions'!E:E, "&lt;="&amp;EOMONTH(DATE(2026,3,1),0)
))</f>
        <v>0</v>
      </c>
      <c r="H16">
        <f t="shared" si="3"/>
        <v>142</v>
      </c>
      <c r="I16">
        <f>ABS(SUMIFS(
  'All Transactions'!G:G,
  'All Transactions'!H:H, $A16,
  'All Transactions'!E:E, "&gt;="&amp;DATE(2026,4,1),
  'All Transactions'!E:E, "&lt;="&amp;EOMONTH(DATE(2026,4,1),0)
))</f>
        <v>0</v>
      </c>
      <c r="J16">
        <f t="shared" si="4"/>
        <v>142</v>
      </c>
    </row>
    <row r="17">
      <c r="A17" s="78" t="str">
        <f>IFERROR(__xludf.DUMMYFUNCTION("""COMPUTED_VALUE"""),"Utilities")</f>
        <v>Utilities</v>
      </c>
      <c r="B17">
        <f>IFERROR(VLOOKUP(A17,'Living Expenses'!J:K,2,FALSE),0)</f>
        <v>135</v>
      </c>
      <c r="C17">
        <f>ABS(SUMIFS(
  'All Transactions'!C:C,
  'All Transactions'!D:D, $A17,
  'All Transactions'!A:A, "&gt;="&amp;DATE(2026,3,1),
  'All Transactions'!A:A, "&lt;="&amp;EOMONTH(DATE(2026,3,1),0)
))</f>
        <v>0</v>
      </c>
      <c r="D17">
        <f t="shared" si="1"/>
        <v>135</v>
      </c>
      <c r="E17">
        <f>ABS(SUMIFS(
  'All Transactions'!C:C,
  'All Transactions'!D:D, $A17,
  'All Transactions'!A:A, "&gt;="&amp;DATE(2026,4,1),
  'All Transactions'!A:A, "&lt;="&amp;EOMONTH(DATE(2026,4,1),0)
))</f>
        <v>0</v>
      </c>
      <c r="F17">
        <f t="shared" si="2"/>
        <v>135</v>
      </c>
      <c r="G17">
        <f>ABS(SUMIFS(
  'All Transactions'!G:G,
  'All Transactions'!H:H, $A17,
  'All Transactions'!E:E, "&gt;="&amp;DATE(2026,3,1),
  'All Transactions'!E:E, "&lt;="&amp;EOMONTH(DATE(2026,3,1),0)
))</f>
        <v>0</v>
      </c>
      <c r="H17">
        <f t="shared" si="3"/>
        <v>135</v>
      </c>
      <c r="I17">
        <f>ABS(SUMIFS(
  'All Transactions'!G:G,
  'All Transactions'!H:H, $A17,
  'All Transactions'!E:E, "&gt;="&amp;DATE(2026,4,1),
  'All Transactions'!E:E, "&lt;="&amp;EOMONTH(DATE(2026,4,1),0)
))</f>
        <v>0</v>
      </c>
      <c r="J17">
        <f t="shared" si="4"/>
        <v>135</v>
      </c>
    </row>
    <row r="18">
      <c r="B18">
        <f>IFERROR(VLOOKUP(A18,'Living Expenses'!J:K,2,FALSE),0)</f>
        <v>0</v>
      </c>
      <c r="C18">
        <f>ABS(SUMIFS(
  'All Transactions'!C:C,
  'All Transactions'!D:D, $A18,
  'All Transactions'!A:A, "&gt;="&amp;DATE(2026,3,1),
  'All Transactions'!A:A, "&lt;="&amp;EOMONTH(DATE(2026,3,1),0)
))</f>
        <v>0</v>
      </c>
      <c r="D18">
        <f t="shared" si="1"/>
        <v>0</v>
      </c>
    </row>
    <row r="19">
      <c r="B19">
        <f>IFERROR(VLOOKUP(A19,'Living Expenses'!J:K,2,FALSE),0)</f>
        <v>0</v>
      </c>
      <c r="C19">
        <f>ABS(SUMIFS(
  'All Transactions'!C:C,
  'All Transactions'!D:D, $A19,
  'All Transactions'!A:A, "&gt;="&amp;DATE(2026,3,1),
  'All Transactions'!A:A, "&lt;="&amp;EOMONTH(DATE(2026,3,1),0)
))</f>
        <v>0</v>
      </c>
      <c r="D19">
        <f t="shared" si="1"/>
        <v>0</v>
      </c>
    </row>
    <row r="20">
      <c r="B20">
        <f>IFERROR(VLOOKUP(A20,'Living Expenses'!J:K,2,FALSE),0)</f>
        <v>0</v>
      </c>
      <c r="C20">
        <f>ABS(SUMIFS(
  'All Transactions'!C:C,
  'All Transactions'!D:D, $A20,
  'All Transactions'!A:A, "&gt;="&amp;DATE(2026,3,1),
  'All Transactions'!A:A, "&lt;="&amp;EOMONTH(DATE(2026,3,1),0)
))</f>
        <v>0</v>
      </c>
      <c r="D20">
        <f t="shared" si="1"/>
        <v>0</v>
      </c>
    </row>
    <row r="21" ht="29.25" customHeight="1">
      <c r="A21" s="303" t="s">
        <v>169</v>
      </c>
      <c r="B21" s="304">
        <f t="shared" ref="B21:J21" si="5">SUM(B2:B20)</f>
        <v>3074.5</v>
      </c>
      <c r="C21" s="304">
        <f t="shared" si="5"/>
        <v>3104.83</v>
      </c>
      <c r="D21" s="304">
        <f t="shared" si="5"/>
        <v>-30.33</v>
      </c>
      <c r="E21" s="304">
        <f t="shared" si="5"/>
        <v>2882.46</v>
      </c>
      <c r="F21" s="304">
        <f t="shared" si="5"/>
        <v>192.04</v>
      </c>
      <c r="G21" s="304">
        <f t="shared" si="5"/>
        <v>0</v>
      </c>
      <c r="H21" s="304">
        <f t="shared" si="5"/>
        <v>-2912.79</v>
      </c>
      <c r="I21" s="304">
        <f t="shared" si="5"/>
        <v>0</v>
      </c>
      <c r="J21" s="304">
        <f t="shared" si="5"/>
        <v>-2690.42</v>
      </c>
      <c r="K21" s="305"/>
      <c r="L21" s="305"/>
      <c r="M21" s="305"/>
      <c r="N21" s="305"/>
      <c r="O21" s="305"/>
      <c r="P21" s="305"/>
      <c r="Q21" s="305"/>
      <c r="R21" s="305"/>
      <c r="S21" s="305"/>
      <c r="T21" s="305"/>
      <c r="U21" s="305"/>
      <c r="V21" s="305"/>
      <c r="W21" s="305"/>
      <c r="X21" s="305"/>
      <c r="Y21" s="305"/>
      <c r="Z21" s="305"/>
    </row>
    <row r="30">
      <c r="A30" s="231" t="s">
        <v>402</v>
      </c>
      <c r="B30" s="231" t="s">
        <v>403</v>
      </c>
    </row>
  </sheetData>
  <conditionalFormatting sqref="D2:D20 H2:H17">
    <cfRule type="expression" dxfId="0" priority="1">
      <formula>D2&gt;0</formula>
    </cfRule>
  </conditionalFormatting>
  <conditionalFormatting sqref="D2:D20 H2:H17">
    <cfRule type="expression" dxfId="1" priority="2">
      <formula>D2&lt;=0</formula>
    </cfRule>
  </conditionalFormatting>
  <conditionalFormatting sqref="F2:F17 J2:J17">
    <cfRule type="expression" dxfId="1" priority="3">
      <formula>F2&lt;=0</formula>
    </cfRule>
  </conditionalFormatting>
  <conditionalFormatting sqref="F2:F17 J2:J17">
    <cfRule type="expression" dxfId="0" priority="4">
      <formula>F2&gt;0</formula>
    </cfRule>
  </conditionalFormatting>
  <conditionalFormatting sqref="D21 H21">
    <cfRule type="cellIs" dxfId="2" priority="5" operator="greaterThanOrEqual">
      <formula>0</formula>
    </cfRule>
  </conditionalFormatting>
  <conditionalFormatting sqref="D21 H21">
    <cfRule type="cellIs" dxfId="3" priority="6" operator="lessThan">
      <formula>0</formula>
    </cfRule>
  </conditionalFormatting>
  <conditionalFormatting sqref="F21 J21">
    <cfRule type="cellIs" dxfId="2" priority="7" operator="greaterThanOrEqual">
      <formula>0</formula>
    </cfRule>
  </conditionalFormatting>
  <conditionalFormatting sqref="F21 J21">
    <cfRule type="cellIs" dxfId="1" priority="8" operator="lessThan">
      <formula>0</formula>
    </cfRule>
  </conditionalFormatting>
  <drawing r:id="rId1"/>
</worksheet>
</file>